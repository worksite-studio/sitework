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OQ Detail" sheetId="2" state="visible" r:id="rId4"/>
    <sheet name="BOQ Summary" sheetId="3" state="visible" r:id="rId5"/>
    <sheet name="Variation Register" sheetId="4" state="visible" r:id="rId6"/>
    <sheet name="Invoice Register" sheetId="5" state="visible" r:id="rId7"/>
    <sheet name="Progress Claims" sheetId="6" state="visible" r:id="rId8"/>
    <sheet name="PO Register" sheetId="7" state="visible" r:id="rId9"/>
    <sheet name="Cash Flow Forecast" sheetId="8" state="visible" r:id="rId10"/>
    <sheet name="Site Diary" sheetId="9" state="visible" r:id="rId11"/>
    <sheet name="Instruc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<sst xmlns="http://schemas.openxmlformats.org/spreadsheetml/2006/main" count="1073" uniqueCount="688">
  <si>
    <t xml:space="preserve">CONSTRUCTION PROJECT FINANCE MODEL  —  DASHBOARD</t>
  </si>
  <si>
    <t xml:space="preserve">Project Name:</t>
  </si>
  <si>
    <t xml:space="preserve">Akademie — U26/73-75 Centennial Circuit Byron Bay</t>
  </si>
  <si>
    <t xml:space="preserve">Client:</t>
  </si>
  <si>
    <t xml:space="preserve">Akademie Pty Ltd</t>
  </si>
  <si>
    <t xml:space="preserve">Builder / PM:</t>
  </si>
  <si>
    <t xml:space="preserve">Report Date:</t>
  </si>
  <si>
    <t xml:space="preserve">PROJECT FINANCIAL SNAPSHOT  (excl. GST)</t>
  </si>
  <si>
    <t xml:space="preserve">Original
Budget ($)</t>
  </si>
  <si>
    <t xml:space="preserve">Approved
Variations ($)</t>
  </si>
  <si>
    <t xml:space="preserve">Revised
Budget ($)</t>
  </si>
  <si>
    <t xml:space="preserve">Actual Cost
to Date ($)</t>
  </si>
  <si>
    <t xml:space="preserve">FFC ($)</t>
  </si>
  <si>
    <t xml:space="preserve">Margin
($)</t>
  </si>
  <si>
    <t xml:space="preserve">Total Excl.
GST ($)</t>
  </si>
  <si>
    <t xml:space="preserve">Variance
($)</t>
  </si>
  <si>
    <t xml:space="preserve">% Budget
Expended</t>
  </si>
  <si>
    <t xml:space="preserve">Budget
Balance ($)</t>
  </si>
  <si>
    <t xml:space="preserve">COST CODE STATUS  —  LIVE</t>
  </si>
  <si>
    <t xml:space="preserve">CC</t>
  </si>
  <si>
    <t xml:space="preserve">Description</t>
  </si>
  <si>
    <t xml:space="preserve">Committed
($)</t>
  </si>
  <si>
    <t xml:space="preserve">Actual CTD
($)</t>
  </si>
  <si>
    <t xml:space="preserve">% Done</t>
  </si>
  <si>
    <t xml:space="preserve">RAG</t>
  </si>
  <si>
    <t xml:space="preserve">TOTAL  (excl. margin &amp; GST)</t>
  </si>
  <si>
    <t xml:space="preserve">BOQ DETAIL  —  SUB-LINE ITEM REGISTER</t>
  </si>
  <si>
    <t xml:space="preserve">Enter every sub-line item here.  CC must match exactly (e.g. "001").  Amount = Qty × Rate (auto).  Sub-items roll up to BOQ Summary original budgets.</t>
  </si>
  <si>
    <t xml:space="preserve">Sub-Code</t>
  </si>
  <si>
    <t xml:space="preserve">Description of Work / Item</t>
  </si>
  <si>
    <t xml:space="preserve">Qty</t>
  </si>
  <si>
    <t xml:space="preserve">Unit</t>
  </si>
  <si>
    <t xml:space="preserve">Rate (excl. GST) ($)</t>
  </si>
  <si>
    <t xml:space="preserve">Amount (excl. GST) ($)</t>
  </si>
  <si>
    <t xml:space="preserve">Notes</t>
  </si>
  <si>
    <t xml:space="preserve">001  —  PRELIMINARY COSTS, CONSULTANT FEES, SITE ESTABLISHMENT</t>
  </si>
  <si>
    <t xml:space="preserve">001</t>
  </si>
  <si>
    <t xml:space="preserve">001.1</t>
  </si>
  <si>
    <t xml:space="preserve">001.2</t>
  </si>
  <si>
    <t xml:space="preserve">001.3</t>
  </si>
  <si>
    <t xml:space="preserve">001.4</t>
  </si>
  <si>
    <t xml:space="preserve">001.5</t>
  </si>
  <si>
    <t xml:space="preserve">001.6</t>
  </si>
  <si>
    <t xml:space="preserve">001.7</t>
  </si>
  <si>
    <t xml:space="preserve">001.8</t>
  </si>
  <si>
    <t xml:space="preserve">002  —  SITE HIRE ITEMS</t>
  </si>
  <si>
    <t xml:space="preserve">002</t>
  </si>
  <si>
    <t xml:space="preserve">002.1</t>
  </si>
  <si>
    <t xml:space="preserve">002.2</t>
  </si>
  <si>
    <t xml:space="preserve">002.3</t>
  </si>
  <si>
    <t xml:space="preserve">002.4</t>
  </si>
  <si>
    <t xml:space="preserve">002.5</t>
  </si>
  <si>
    <t xml:space="preserve">002.6</t>
  </si>
  <si>
    <t xml:space="preserve">002.7</t>
  </si>
  <si>
    <t xml:space="preserve">002.8</t>
  </si>
  <si>
    <t xml:space="preserve">003  —  SURVEYING - SET-OUT, TBM, PINS</t>
  </si>
  <si>
    <t xml:space="preserve">003</t>
  </si>
  <si>
    <t xml:space="preserve">003.1</t>
  </si>
  <si>
    <t xml:space="preserve">003.2</t>
  </si>
  <si>
    <t xml:space="preserve">003.3</t>
  </si>
  <si>
    <t xml:space="preserve">003.4</t>
  </si>
  <si>
    <t xml:space="preserve">003.5</t>
  </si>
  <si>
    <t xml:space="preserve">003.6</t>
  </si>
  <si>
    <t xml:space="preserve">003.7</t>
  </si>
  <si>
    <t xml:space="preserve">003.8</t>
  </si>
  <si>
    <t xml:space="preserve">004  —  STRUCTURAL STEEL - SUPPLY AND INSTALLATION</t>
  </si>
  <si>
    <t xml:space="preserve">004</t>
  </si>
  <si>
    <t xml:space="preserve">004.1</t>
  </si>
  <si>
    <t xml:space="preserve">004.2</t>
  </si>
  <si>
    <t xml:space="preserve">004.3</t>
  </si>
  <si>
    <t xml:space="preserve">004.4</t>
  </si>
  <si>
    <t xml:space="preserve">004.5</t>
  </si>
  <si>
    <t xml:space="preserve">004.6</t>
  </si>
  <si>
    <t xml:space="preserve">004.7</t>
  </si>
  <si>
    <t xml:space="preserve">004.8</t>
  </si>
  <si>
    <t xml:space="preserve">005  —  STRUCTURAL CONCRETE - FOUNDATIONS, PIERS, SLAB</t>
  </si>
  <si>
    <t xml:space="preserve">005</t>
  </si>
  <si>
    <t xml:space="preserve">005.1</t>
  </si>
  <si>
    <t xml:space="preserve">005.2</t>
  </si>
  <si>
    <t xml:space="preserve">005.3</t>
  </si>
  <si>
    <t xml:space="preserve">005.4</t>
  </si>
  <si>
    <t xml:space="preserve">005.5</t>
  </si>
  <si>
    <t xml:space="preserve">005.6</t>
  </si>
  <si>
    <t xml:space="preserve">005.7</t>
  </si>
  <si>
    <t xml:space="preserve">005.8</t>
  </si>
  <si>
    <t xml:space="preserve">006  —  DRAINAGE PLUMBING - SEPTIC, STORMWATER, AG-DRAINAGE</t>
  </si>
  <si>
    <t xml:space="preserve">006</t>
  </si>
  <si>
    <t xml:space="preserve">006.1</t>
  </si>
  <si>
    <t xml:space="preserve">006.2</t>
  </si>
  <si>
    <t xml:space="preserve">006.3</t>
  </si>
  <si>
    <t xml:space="preserve">006.4</t>
  </si>
  <si>
    <t xml:space="preserve">006.5</t>
  </si>
  <si>
    <t xml:space="preserve">006.6</t>
  </si>
  <si>
    <t xml:space="preserve">006.7</t>
  </si>
  <si>
    <t xml:space="preserve">006.8</t>
  </si>
  <si>
    <t xml:space="preserve">007  —  MEZZANINE &amp; GALLERY / STORAGE FLOOR FRAMING - TIMBER &amp; HARDWARE</t>
  </si>
  <si>
    <t xml:space="preserve">007</t>
  </si>
  <si>
    <t xml:space="preserve">007.1</t>
  </si>
  <si>
    <t xml:space="preserve">007.2</t>
  </si>
  <si>
    <t xml:space="preserve">007.3</t>
  </si>
  <si>
    <t xml:space="preserve">007.4</t>
  </si>
  <si>
    <t xml:space="preserve">007.5</t>
  </si>
  <si>
    <t xml:space="preserve">007.6</t>
  </si>
  <si>
    <t xml:space="preserve">007.7</t>
  </si>
  <si>
    <t xml:space="preserve">007.8</t>
  </si>
  <si>
    <t xml:space="preserve">008  —  CARPENTRY LABOUR - MEZZANINE FLOOR GRADING &amp; LAYING</t>
  </si>
  <si>
    <t xml:space="preserve">008</t>
  </si>
  <si>
    <t xml:space="preserve">008.1</t>
  </si>
  <si>
    <t xml:space="preserve">008.2</t>
  </si>
  <si>
    <t xml:space="preserve">008.3</t>
  </si>
  <si>
    <t xml:space="preserve">008.4</t>
  </si>
  <si>
    <t xml:space="preserve">008.5</t>
  </si>
  <si>
    <t xml:space="preserve">008.6</t>
  </si>
  <si>
    <t xml:space="preserve">008.7</t>
  </si>
  <si>
    <t xml:space="preserve">008.8</t>
  </si>
  <si>
    <t xml:space="preserve">009  —  TERMITE TREATMENT - SPRAY, PENETRATION COLLARS, BAIT TRAPS</t>
  </si>
  <si>
    <t xml:space="preserve">009</t>
  </si>
  <si>
    <t xml:space="preserve">009.1</t>
  </si>
  <si>
    <t xml:space="preserve">009.2</t>
  </si>
  <si>
    <t xml:space="preserve">009.3</t>
  </si>
  <si>
    <t xml:space="preserve">009.4</t>
  </si>
  <si>
    <t xml:space="preserve">009.5</t>
  </si>
  <si>
    <t xml:space="preserve">009.6</t>
  </si>
  <si>
    <t xml:space="preserve">009.7</t>
  </si>
  <si>
    <t xml:space="preserve">009.8</t>
  </si>
  <si>
    <t xml:space="preserve">010  —  GROUND FLOOR &amp; RAISED PLATFORM FRAMING - TIMBER &amp; HARDWARE</t>
  </si>
  <si>
    <t xml:space="preserve">010</t>
  </si>
  <si>
    <t xml:space="preserve">010.1</t>
  </si>
  <si>
    <t xml:space="preserve">010.2</t>
  </si>
  <si>
    <t xml:space="preserve">010.3</t>
  </si>
  <si>
    <t xml:space="preserve">010.4</t>
  </si>
  <si>
    <t xml:space="preserve">010.5</t>
  </si>
  <si>
    <t xml:space="preserve">010.6</t>
  </si>
  <si>
    <t xml:space="preserve">010.7</t>
  </si>
  <si>
    <t xml:space="preserve">010.8</t>
  </si>
  <si>
    <t xml:space="preserve">011  —  FIRST FLOOR FRAMING - TIMBER &amp; HARDWARE</t>
  </si>
  <si>
    <t xml:space="preserve">011</t>
  </si>
  <si>
    <t xml:space="preserve">011.1</t>
  </si>
  <si>
    <t xml:space="preserve">011.2</t>
  </si>
  <si>
    <t xml:space="preserve">011.3</t>
  </si>
  <si>
    <t xml:space="preserve">011.4</t>
  </si>
  <si>
    <t xml:space="preserve">011.5</t>
  </si>
  <si>
    <t xml:space="preserve">011.6</t>
  </si>
  <si>
    <t xml:space="preserve">011.7</t>
  </si>
  <si>
    <t xml:space="preserve">011.8</t>
  </si>
  <si>
    <t xml:space="preserve">012  —  FRAMING - TIMBER &amp; HARDWARE (MISC)</t>
  </si>
  <si>
    <t xml:space="preserve">012</t>
  </si>
  <si>
    <t xml:space="preserve">012.1</t>
  </si>
  <si>
    <t xml:space="preserve">012.2</t>
  </si>
  <si>
    <t xml:space="preserve">012.3</t>
  </si>
  <si>
    <t xml:space="preserve">012.4</t>
  </si>
  <si>
    <t xml:space="preserve">012.5</t>
  </si>
  <si>
    <t xml:space="preserve">012.6</t>
  </si>
  <si>
    <t xml:space="preserve">012.7</t>
  </si>
  <si>
    <t xml:space="preserve">012.8</t>
  </si>
  <si>
    <t xml:space="preserve">013  —  ROOF TRUSSES - TRUSSES, RAFTERS, POSI-TRUSSES</t>
  </si>
  <si>
    <t xml:space="preserve">013</t>
  </si>
  <si>
    <t xml:space="preserve">013.1</t>
  </si>
  <si>
    <t xml:space="preserve">013.2</t>
  </si>
  <si>
    <t xml:space="preserve">013.3</t>
  </si>
  <si>
    <t xml:space="preserve">013.4</t>
  </si>
  <si>
    <t xml:space="preserve">013.5</t>
  </si>
  <si>
    <t xml:space="preserve">013.6</t>
  </si>
  <si>
    <t xml:space="preserve">013.7</t>
  </si>
  <si>
    <t xml:space="preserve">013.8</t>
  </si>
  <si>
    <t xml:space="preserve">014  —  FRAMING - CARPENTRY LABOUR, STRUCTURAL</t>
  </si>
  <si>
    <t xml:space="preserve">014</t>
  </si>
  <si>
    <t xml:space="preserve">014.1</t>
  </si>
  <si>
    <t xml:space="preserve">014.2</t>
  </si>
  <si>
    <t xml:space="preserve">014.3</t>
  </si>
  <si>
    <t xml:space="preserve">014.4</t>
  </si>
  <si>
    <t xml:space="preserve">014.5</t>
  </si>
  <si>
    <t xml:space="preserve">014.6</t>
  </si>
  <si>
    <t xml:space="preserve">014.7</t>
  </si>
  <si>
    <t xml:space="preserve">014.8</t>
  </si>
  <si>
    <t xml:space="preserve">015  —  SHEET-METAL &amp; CUSTOM METAL WORK</t>
  </si>
  <si>
    <t xml:space="preserve">015</t>
  </si>
  <si>
    <t xml:space="preserve">015.1</t>
  </si>
  <si>
    <t xml:space="preserve">015.2</t>
  </si>
  <si>
    <t xml:space="preserve">015.3</t>
  </si>
  <si>
    <t xml:space="preserve">015.4</t>
  </si>
  <si>
    <t xml:space="preserve">015.5</t>
  </si>
  <si>
    <t xml:space="preserve">015.6</t>
  </si>
  <si>
    <t xml:space="preserve">015.7</t>
  </si>
  <si>
    <t xml:space="preserve">015.8</t>
  </si>
  <si>
    <t xml:space="preserve">016  —  WINDOWS &amp; DOORS - INTERNAL</t>
  </si>
  <si>
    <t xml:space="preserve">016</t>
  </si>
  <si>
    <t xml:space="preserve">016.1</t>
  </si>
  <si>
    <t xml:space="preserve">016.2</t>
  </si>
  <si>
    <t xml:space="preserve">016.3</t>
  </si>
  <si>
    <t xml:space="preserve">016.4</t>
  </si>
  <si>
    <t xml:space="preserve">016.5</t>
  </si>
  <si>
    <t xml:space="preserve">016.6</t>
  </si>
  <si>
    <t xml:space="preserve">016.7</t>
  </si>
  <si>
    <t xml:space="preserve">016.8</t>
  </si>
  <si>
    <t xml:space="preserve">017  —  LOCKUP MATERIALS - CLADDING, HARDWARE, FLASHING</t>
  </si>
  <si>
    <t xml:space="preserve">017</t>
  </si>
  <si>
    <t xml:space="preserve">017.1</t>
  </si>
  <si>
    <t xml:space="preserve">017.2</t>
  </si>
  <si>
    <t xml:space="preserve">017.3</t>
  </si>
  <si>
    <t xml:space="preserve">017.4</t>
  </si>
  <si>
    <t xml:space="preserve">017.5</t>
  </si>
  <si>
    <t xml:space="preserve">017.6</t>
  </si>
  <si>
    <t xml:space="preserve">017.7</t>
  </si>
  <si>
    <t xml:space="preserve">017.8</t>
  </si>
  <si>
    <t xml:space="preserve">018  —  LOCKUP CARPENTRY - CLADDING, INT/EXT WORKS</t>
  </si>
  <si>
    <t xml:space="preserve">018</t>
  </si>
  <si>
    <t xml:space="preserve">018.1</t>
  </si>
  <si>
    <t xml:space="preserve">018.2</t>
  </si>
  <si>
    <t xml:space="preserve">018.3</t>
  </si>
  <si>
    <t xml:space="preserve">018.4</t>
  </si>
  <si>
    <t xml:space="preserve">018.5</t>
  </si>
  <si>
    <t xml:space="preserve">018.6</t>
  </si>
  <si>
    <t xml:space="preserve">018.7</t>
  </si>
  <si>
    <t xml:space="preserve">018.8</t>
  </si>
  <si>
    <t xml:space="preserve">019  —  INSULATION - WALL &amp; CEILING INSULATION &amp; BUILDING WRAP</t>
  </si>
  <si>
    <t xml:space="preserve">019</t>
  </si>
  <si>
    <t xml:space="preserve">019.1</t>
  </si>
  <si>
    <t xml:space="preserve">019.2</t>
  </si>
  <si>
    <t xml:space="preserve">019.3</t>
  </si>
  <si>
    <t xml:space="preserve">019.4</t>
  </si>
  <si>
    <t xml:space="preserve">019.5</t>
  </si>
  <si>
    <t xml:space="preserve">019.6</t>
  </si>
  <si>
    <t xml:space="preserve">019.7</t>
  </si>
  <si>
    <t xml:space="preserve">019.8</t>
  </si>
  <si>
    <t xml:space="preserve">020  —  ELECTRICAL - LABOUR &amp; MATERIALS (LIGHT FITTINGS SEPARATE)</t>
  </si>
  <si>
    <t xml:space="preserve">020</t>
  </si>
  <si>
    <t xml:space="preserve">020.1</t>
  </si>
  <si>
    <t xml:space="preserve">020.2</t>
  </si>
  <si>
    <t xml:space="preserve">020.3</t>
  </si>
  <si>
    <t xml:space="preserve">020.4</t>
  </si>
  <si>
    <t xml:space="preserve">020.5</t>
  </si>
  <si>
    <t xml:space="preserve">020.6</t>
  </si>
  <si>
    <t xml:space="preserve">020.7</t>
  </si>
  <si>
    <t xml:space="preserve">020.8</t>
  </si>
  <si>
    <t xml:space="preserve">021  —  HYDRAULIC PLUMBING - GENERAL</t>
  </si>
  <si>
    <t xml:space="preserve">021</t>
  </si>
  <si>
    <t xml:space="preserve">021.1</t>
  </si>
  <si>
    <t xml:space="preserve">021.2</t>
  </si>
  <si>
    <t xml:space="preserve">021.3</t>
  </si>
  <si>
    <t xml:space="preserve">021.4</t>
  </si>
  <si>
    <t xml:space="preserve">021.5</t>
  </si>
  <si>
    <t xml:space="preserve">021.6</t>
  </si>
  <si>
    <t xml:space="preserve">021.7</t>
  </si>
  <si>
    <t xml:space="preserve">021.8</t>
  </si>
  <si>
    <t xml:space="preserve">022  —  HYDRAULIC PLUMBING ITEMS - HWS, SPECIALTY ITEMS</t>
  </si>
  <si>
    <t xml:space="preserve">022</t>
  </si>
  <si>
    <t xml:space="preserve">022.1</t>
  </si>
  <si>
    <t xml:space="preserve">022.2</t>
  </si>
  <si>
    <t xml:space="preserve">022.3</t>
  </si>
  <si>
    <t xml:space="preserve">022.4</t>
  </si>
  <si>
    <t xml:space="preserve">022.5</t>
  </si>
  <si>
    <t xml:space="preserve">022.6</t>
  </si>
  <si>
    <t xml:space="preserve">022.7</t>
  </si>
  <si>
    <t xml:space="preserve">022.8</t>
  </si>
  <si>
    <t xml:space="preserve">023  —  MECHANICAL PLUMBING AND HVAC</t>
  </si>
  <si>
    <t xml:space="preserve">023</t>
  </si>
  <si>
    <t xml:space="preserve">023.1</t>
  </si>
  <si>
    <t xml:space="preserve">023.2</t>
  </si>
  <si>
    <t xml:space="preserve">023.3</t>
  </si>
  <si>
    <t xml:space="preserve">023.4</t>
  </si>
  <si>
    <t xml:space="preserve">023.5</t>
  </si>
  <si>
    <t xml:space="preserve">023.6</t>
  </si>
  <si>
    <t xml:space="preserve">023.7</t>
  </si>
  <si>
    <t xml:space="preserve">023.8</t>
  </si>
  <si>
    <t xml:space="preserve">024  —  DECKING - FRAMING &amp; HARDWARE</t>
  </si>
  <si>
    <t xml:space="preserve">024</t>
  </si>
  <si>
    <t xml:space="preserve">024.1</t>
  </si>
  <si>
    <t xml:space="preserve">024.2</t>
  </si>
  <si>
    <t xml:space="preserve">024.3</t>
  </si>
  <si>
    <t xml:space="preserve">024.4</t>
  </si>
  <si>
    <t xml:space="preserve">024.5</t>
  </si>
  <si>
    <t xml:space="preserve">024.6</t>
  </si>
  <si>
    <t xml:space="preserve">024.7</t>
  </si>
  <si>
    <t xml:space="preserve">024.8</t>
  </si>
  <si>
    <t xml:space="preserve">025  —  DECKING AND SUB-FLOOR FRAMING MATERIALS</t>
  </si>
  <si>
    <t xml:space="preserve">025</t>
  </si>
  <si>
    <t xml:space="preserve">025.1</t>
  </si>
  <si>
    <t xml:space="preserve">025.2</t>
  </si>
  <si>
    <t xml:space="preserve">025.3</t>
  </si>
  <si>
    <t xml:space="preserve">025.4</t>
  </si>
  <si>
    <t xml:space="preserve">025.5</t>
  </si>
  <si>
    <t xml:space="preserve">025.6</t>
  </si>
  <si>
    <t xml:space="preserve">025.7</t>
  </si>
  <si>
    <t xml:space="preserve">025.8</t>
  </si>
  <si>
    <t xml:space="preserve">026  —  INTERNAL WALL &amp; CEILING LINING - GYROCK, PLYWOOD, OTHER</t>
  </si>
  <si>
    <t xml:space="preserve">026</t>
  </si>
  <si>
    <t xml:space="preserve">026.1</t>
  </si>
  <si>
    <t xml:space="preserve">026.2</t>
  </si>
  <si>
    <t xml:space="preserve">026.3</t>
  </si>
  <si>
    <t xml:space="preserve">026.4</t>
  </si>
  <si>
    <t xml:space="preserve">026.5</t>
  </si>
  <si>
    <t xml:space="preserve">026.6</t>
  </si>
  <si>
    <t xml:space="preserve">026.7</t>
  </si>
  <si>
    <t xml:space="preserve">026.8</t>
  </si>
  <si>
    <t xml:space="preserve">027  —  JOINERY - KITCHEN, BATHROOM, LAUNDRY</t>
  </si>
  <si>
    <t xml:space="preserve">027</t>
  </si>
  <si>
    <t xml:space="preserve">027.1</t>
  </si>
  <si>
    <t xml:space="preserve">027.2</t>
  </si>
  <si>
    <t xml:space="preserve">027.3</t>
  </si>
  <si>
    <t xml:space="preserve">027.4</t>
  </si>
  <si>
    <t xml:space="preserve">027.5</t>
  </si>
  <si>
    <t xml:space="preserve">027.6</t>
  </si>
  <si>
    <t xml:space="preserve">027.7</t>
  </si>
  <si>
    <t xml:space="preserve">027.8</t>
  </si>
  <si>
    <t xml:space="preserve">028  —  FINISH CARPENTRY - INTERNAL FINISHING AND DETAIL WORKS</t>
  </si>
  <si>
    <t xml:space="preserve">028</t>
  </si>
  <si>
    <t xml:space="preserve">028.1</t>
  </si>
  <si>
    <t xml:space="preserve">028.2</t>
  </si>
  <si>
    <t xml:space="preserve">028.3</t>
  </si>
  <si>
    <t xml:space="preserve">028.4</t>
  </si>
  <si>
    <t xml:space="preserve">028.5</t>
  </si>
  <si>
    <t xml:space="preserve">028.6</t>
  </si>
  <si>
    <t xml:space="preserve">028.7</t>
  </si>
  <si>
    <t xml:space="preserve">028.8</t>
  </si>
  <si>
    <t xml:space="preserve">029  —  WATERPROOFING &amp; SCREED BEDS</t>
  </si>
  <si>
    <t xml:space="preserve">029</t>
  </si>
  <si>
    <t xml:space="preserve">029.1</t>
  </si>
  <si>
    <t xml:space="preserve">029.2</t>
  </si>
  <si>
    <t xml:space="preserve">029.3</t>
  </si>
  <si>
    <t xml:space="preserve">029.4</t>
  </si>
  <si>
    <t xml:space="preserve">029.5</t>
  </si>
  <si>
    <t xml:space="preserve">029.6</t>
  </si>
  <si>
    <t xml:space="preserve">029.7</t>
  </si>
  <si>
    <t xml:space="preserve">029.8</t>
  </si>
  <si>
    <t xml:space="preserve">030  —  TILE SUPPLY ALLOWANCE</t>
  </si>
  <si>
    <t xml:space="preserve">030</t>
  </si>
  <si>
    <t xml:space="preserve">030.1</t>
  </si>
  <si>
    <t xml:space="preserve">030.2</t>
  </si>
  <si>
    <t xml:space="preserve">030.3</t>
  </si>
  <si>
    <t xml:space="preserve">030.4</t>
  </si>
  <si>
    <t xml:space="preserve">030.5</t>
  </si>
  <si>
    <t xml:space="preserve">030.6</t>
  </si>
  <si>
    <t xml:space="preserve">030.7</t>
  </si>
  <si>
    <t xml:space="preserve">030.8</t>
  </si>
  <si>
    <t xml:space="preserve">031  —  TILING LABOUR</t>
  </si>
  <si>
    <t xml:space="preserve">031</t>
  </si>
  <si>
    <t xml:space="preserve">031.1</t>
  </si>
  <si>
    <t xml:space="preserve">031.2</t>
  </si>
  <si>
    <t xml:space="preserve">031.3</t>
  </si>
  <si>
    <t xml:space="preserve">031.4</t>
  </si>
  <si>
    <t xml:space="preserve">031.5</t>
  </si>
  <si>
    <t xml:space="preserve">031.6</t>
  </si>
  <si>
    <t xml:space="preserve">031.7</t>
  </si>
  <si>
    <t xml:space="preserve">031.8</t>
  </si>
  <si>
    <t xml:space="preserve">032  —  TIMBER FLOORING - SUPPLY &amp; INSTALLATION</t>
  </si>
  <si>
    <t xml:space="preserve">032</t>
  </si>
  <si>
    <t xml:space="preserve">032.1</t>
  </si>
  <si>
    <t xml:space="preserve">032.2</t>
  </si>
  <si>
    <t xml:space="preserve">032.3</t>
  </si>
  <si>
    <t xml:space="preserve">032.4</t>
  </si>
  <si>
    <t xml:space="preserve">032.5</t>
  </si>
  <si>
    <t xml:space="preserve">032.6</t>
  </si>
  <si>
    <t xml:space="preserve">032.7</t>
  </si>
  <si>
    <t xml:space="preserve">032.8</t>
  </si>
  <si>
    <t xml:space="preserve">033  —  FLOOR FINISHING - SANDING &amp; POLISHING</t>
  </si>
  <si>
    <t xml:space="preserve">033</t>
  </si>
  <si>
    <t xml:space="preserve">033.1</t>
  </si>
  <si>
    <t xml:space="preserve">033.2</t>
  </si>
  <si>
    <t xml:space="preserve">033.3</t>
  </si>
  <si>
    <t xml:space="preserve">033.4</t>
  </si>
  <si>
    <t xml:space="preserve">033.5</t>
  </si>
  <si>
    <t xml:space="preserve">033.6</t>
  </si>
  <si>
    <t xml:space="preserve">033.7</t>
  </si>
  <si>
    <t xml:space="preserve">033.8</t>
  </si>
  <si>
    <t xml:space="preserve">034  —  PAINTING - INTERNAL &amp; EXTERNAL</t>
  </si>
  <si>
    <t xml:space="preserve">034</t>
  </si>
  <si>
    <t xml:space="preserve">034.1</t>
  </si>
  <si>
    <t xml:space="preserve">034.2</t>
  </si>
  <si>
    <t xml:space="preserve">034.3</t>
  </si>
  <si>
    <t xml:space="preserve">034.4</t>
  </si>
  <si>
    <t xml:space="preserve">034.5</t>
  </si>
  <si>
    <t xml:space="preserve">034.6</t>
  </si>
  <si>
    <t xml:space="preserve">034.7</t>
  </si>
  <si>
    <t xml:space="preserve">034.8</t>
  </si>
  <si>
    <t xml:space="preserve">035  —  RENDER AND MICRO-CEMENT - INTERNAL &amp; EXTERNAL</t>
  </si>
  <si>
    <t xml:space="preserve">035</t>
  </si>
  <si>
    <t xml:space="preserve">035.1</t>
  </si>
  <si>
    <t xml:space="preserve">035.2</t>
  </si>
  <si>
    <t xml:space="preserve">035.3</t>
  </si>
  <si>
    <t xml:space="preserve">035.4</t>
  </si>
  <si>
    <t xml:space="preserve">035.5</t>
  </si>
  <si>
    <t xml:space="preserve">035.6</t>
  </si>
  <si>
    <t xml:space="preserve">035.7</t>
  </si>
  <si>
    <t xml:space="preserve">035.8</t>
  </si>
  <si>
    <t xml:space="preserve">036  —  PLUMBING - INTERNAL FIXTURES</t>
  </si>
  <si>
    <t xml:space="preserve">036</t>
  </si>
  <si>
    <t xml:space="preserve">036.1</t>
  </si>
  <si>
    <t xml:space="preserve">036.2</t>
  </si>
  <si>
    <t xml:space="preserve">036.3</t>
  </si>
  <si>
    <t xml:space="preserve">036.4</t>
  </si>
  <si>
    <t xml:space="preserve">036.5</t>
  </si>
  <si>
    <t xml:space="preserve">036.6</t>
  </si>
  <si>
    <t xml:space="preserve">036.7</t>
  </si>
  <si>
    <t xml:space="preserve">036.8</t>
  </si>
  <si>
    <t xml:space="preserve">037  —  ELECTRICAL - LIGHT FITTINGS</t>
  </si>
  <si>
    <t xml:space="preserve">037</t>
  </si>
  <si>
    <t xml:space="preserve">037.1</t>
  </si>
  <si>
    <t xml:space="preserve">037.2</t>
  </si>
  <si>
    <t xml:space="preserve">037.3</t>
  </si>
  <si>
    <t xml:space="preserve">037.4</t>
  </si>
  <si>
    <t xml:space="preserve">037.5</t>
  </si>
  <si>
    <t xml:space="preserve">037.6</t>
  </si>
  <si>
    <t xml:space="preserve">037.7</t>
  </si>
  <si>
    <t xml:space="preserve">037.8</t>
  </si>
  <si>
    <t xml:space="preserve">038  —  LANDSCAPING &amp; CIVIL - HARDSCAPING, RETAINING WALLS, DRIVEWAYS</t>
  </si>
  <si>
    <t xml:space="preserve">038</t>
  </si>
  <si>
    <t xml:space="preserve">038.1</t>
  </si>
  <si>
    <t xml:space="preserve">038.2</t>
  </si>
  <si>
    <t xml:space="preserve">038.3</t>
  </si>
  <si>
    <t xml:space="preserve">038.4</t>
  </si>
  <si>
    <t xml:space="preserve">038.5</t>
  </si>
  <si>
    <t xml:space="preserve">038.6</t>
  </si>
  <si>
    <t xml:space="preserve">038.7</t>
  </si>
  <si>
    <t xml:space="preserve">038.8</t>
  </si>
  <si>
    <t xml:space="preserve">039  —  LANDSCAPING - SOFTSCAPING, PLANTS, MULCH, TURF</t>
  </si>
  <si>
    <t xml:space="preserve">039</t>
  </si>
  <si>
    <t xml:space="preserve">039.1</t>
  </si>
  <si>
    <t xml:space="preserve">039.2</t>
  </si>
  <si>
    <t xml:space="preserve">039.3</t>
  </si>
  <si>
    <t xml:space="preserve">039.4</t>
  </si>
  <si>
    <t xml:space="preserve">039.5</t>
  </si>
  <si>
    <t xml:space="preserve">039.6</t>
  </si>
  <si>
    <t xml:space="preserve">039.7</t>
  </si>
  <si>
    <t xml:space="preserve">039.8</t>
  </si>
  <si>
    <t xml:space="preserve">040  —  PLUMBING - WATER TANKS, PUMPS, SEPTIC REQUIREMENTS</t>
  </si>
  <si>
    <t xml:space="preserve">040</t>
  </si>
  <si>
    <t xml:space="preserve">040.1</t>
  </si>
  <si>
    <t xml:space="preserve">040.2</t>
  </si>
  <si>
    <t xml:space="preserve">040.3</t>
  </si>
  <si>
    <t xml:space="preserve">040.4</t>
  </si>
  <si>
    <t xml:space="preserve">040.5</t>
  </si>
  <si>
    <t xml:space="preserve">040.6</t>
  </si>
  <si>
    <t xml:space="preserve">040.7</t>
  </si>
  <si>
    <t xml:space="preserve">040.8</t>
  </si>
  <si>
    <t xml:space="preserve">041  —  APPLIANCES - OVENS, FRIDGES, ETC.</t>
  </si>
  <si>
    <t xml:space="preserve">041</t>
  </si>
  <si>
    <t xml:space="preserve">041.1</t>
  </si>
  <si>
    <t xml:space="preserve">041.2</t>
  </si>
  <si>
    <t xml:space="preserve">041.3</t>
  </si>
  <si>
    <t xml:space="preserve">041.4</t>
  </si>
  <si>
    <t xml:space="preserve">041.5</t>
  </si>
  <si>
    <t xml:space="preserve">041.6</t>
  </si>
  <si>
    <t xml:space="preserve">041.7</t>
  </si>
  <si>
    <t xml:space="preserve">041.8</t>
  </si>
  <si>
    <t xml:space="preserve">042  —  PROVISIONAL SUMS</t>
  </si>
  <si>
    <t xml:space="preserve">042</t>
  </si>
  <si>
    <t xml:space="preserve">042.1</t>
  </si>
  <si>
    <t xml:space="preserve">042.2</t>
  </si>
  <si>
    <t xml:space="preserve">042.3</t>
  </si>
  <si>
    <t xml:space="preserve">042.4</t>
  </si>
  <si>
    <t xml:space="preserve">042.5</t>
  </si>
  <si>
    <t xml:space="preserve">042.6</t>
  </si>
  <si>
    <t xml:space="preserve">042.7</t>
  </si>
  <si>
    <t xml:space="preserve">042.8</t>
  </si>
  <si>
    <t xml:space="preserve">043  —  PRIME COST ALLOWANCE</t>
  </si>
  <si>
    <t xml:space="preserve">043</t>
  </si>
  <si>
    <t xml:space="preserve">043.1</t>
  </si>
  <si>
    <t xml:space="preserve">043.2</t>
  </si>
  <si>
    <t xml:space="preserve">043.3</t>
  </si>
  <si>
    <t xml:space="preserve">043.4</t>
  </si>
  <si>
    <t xml:space="preserve">043.5</t>
  </si>
  <si>
    <t xml:space="preserve">043.6</t>
  </si>
  <si>
    <t xml:space="preserve">043.7</t>
  </si>
  <si>
    <t xml:space="preserve">043.8</t>
  </si>
  <si>
    <t xml:space="preserve">044  —  PROJECT OVERHEAD COSTS</t>
  </si>
  <si>
    <t xml:space="preserve">044</t>
  </si>
  <si>
    <t xml:space="preserve">044.1</t>
  </si>
  <si>
    <t xml:space="preserve">044.2</t>
  </si>
  <si>
    <t xml:space="preserve">044.3</t>
  </si>
  <si>
    <t xml:space="preserve">044.4</t>
  </si>
  <si>
    <t xml:space="preserve">044.5</t>
  </si>
  <si>
    <t xml:space="preserve">044.6</t>
  </si>
  <si>
    <t xml:space="preserve">044.7</t>
  </si>
  <si>
    <t xml:space="preserve">044.8</t>
  </si>
  <si>
    <t xml:space="preserve">TOTAL ORIGINAL BUDGET  (excl. GST)</t>
  </si>
  <si>
    <t xml:space="preserve">BOQ SUMMARY  —  COST CODE FINANCIAL TRACKER</t>
  </si>
  <si>
    <t xml:space="preserve">Original Budget rolls up automatically from BOQ Detail.  Variations, Invoices and POs feed all other columns.</t>
  </si>
  <si>
    <t xml:space="preserve">Builder Margin Rate:</t>
  </si>
  <si>
    <t xml:space="preserve">GST Rate:</t>
  </si>
  <si>
    <t xml:space="preserve">← Edit rates here</t>
  </si>
  <si>
    <t xml:space="preserve">Blue = input  |  Black = formula  |  Green = linked from another sheet</t>
  </si>
  <si>
    <t xml:space="preserve">Original Budget
(from BOQ Detail) ($)</t>
  </si>
  <si>
    <t xml:space="preserve">No. of
Variations</t>
  </si>
  <si>
    <t xml:space="preserve">Committed
Cost ($)</t>
  </si>
  <si>
    <t xml:space="preserve">Forecast Final
Cost ($)</t>
  </si>
  <si>
    <t xml:space="preserve">Variance to
Budget ($)</t>
  </si>
  <si>
    <t xml:space="preserve">PRELIMINARY COSTS, CONSULTANT FEES, SITE ESTABLISHMENT</t>
  </si>
  <si>
    <t xml:space="preserve">SITE HIRE ITEMS</t>
  </si>
  <si>
    <t xml:space="preserve">SURVEYING - SET-OUT, TBM, PINS</t>
  </si>
  <si>
    <t xml:space="preserve">STRUCTURAL STEEL - SUPPLY AND INSTALLATION</t>
  </si>
  <si>
    <t xml:space="preserve">STRUCTURAL CONCRETE - FOUNDATIONS, PIERS, SLAB</t>
  </si>
  <si>
    <t xml:space="preserve">DRAINAGE PLUMBING - SEPTIC, STORMWATER, AG-DRAINAGE</t>
  </si>
  <si>
    <t xml:space="preserve">MEZZANINE &amp; GALLERY / STORAGE FLOOR FRAMING - TIMBER &amp; HARDWARE</t>
  </si>
  <si>
    <t xml:space="preserve">CARPENTRY LABOUR - MEZZANINE FLOOR GRADING &amp; LAYING</t>
  </si>
  <si>
    <t xml:space="preserve">TERMITE TREATMENT - SPRAY, PENETRATION COLLARS, BAIT TRAPS</t>
  </si>
  <si>
    <t xml:space="preserve">GROUND FLOOR &amp; RAISED PLATFORM FRAMING - TIMBER &amp; HARDWARE</t>
  </si>
  <si>
    <t xml:space="preserve">FIRST FLOOR FRAMING - TIMBER &amp; HARDWARE</t>
  </si>
  <si>
    <t xml:space="preserve">FRAMING - TIMBER &amp; HARDWARE (MISC)</t>
  </si>
  <si>
    <t xml:space="preserve">ROOF TRUSSES - TRUSSES, RAFTERS, POSI-TRUSSES</t>
  </si>
  <si>
    <t xml:space="preserve">FRAMING - CARPENTRY LABOUR, STRUCTURAL</t>
  </si>
  <si>
    <t xml:space="preserve">SHEET-METAL &amp; CUSTOM METAL WORK</t>
  </si>
  <si>
    <t xml:space="preserve">WINDOWS &amp; DOORS - INTERNAL</t>
  </si>
  <si>
    <t xml:space="preserve">LOCKUP MATERIALS - CLADDING, HARDWARE, FLASHING</t>
  </si>
  <si>
    <t xml:space="preserve">LOCKUP CARPENTRY - CLADDING, INT/EXT WORKS</t>
  </si>
  <si>
    <t xml:space="preserve">INSULATION - WALL &amp; CEILING INSULATION &amp; BUILDING WRAP</t>
  </si>
  <si>
    <t xml:space="preserve">ELECTRICAL - LABOUR &amp; MATERIALS (LIGHT FITTINGS SEPARATE)</t>
  </si>
  <si>
    <t xml:space="preserve">HYDRAULIC PLUMBING - GENERAL</t>
  </si>
  <si>
    <t xml:space="preserve">HYDRAULIC PLUMBING ITEMS - HWS, SPECIALTY ITEMS</t>
  </si>
  <si>
    <t xml:space="preserve">MECHANICAL PLUMBING AND HVAC</t>
  </si>
  <si>
    <t xml:space="preserve">DECKING - FRAMING &amp; HARDWARE</t>
  </si>
  <si>
    <t xml:space="preserve">DECKING AND SUB-FLOOR FRAMING MATERIALS</t>
  </si>
  <si>
    <t xml:space="preserve">INTERNAL WALL &amp; CEILING LINING - GYROCK, PLYWOOD, OTHER</t>
  </si>
  <si>
    <t xml:space="preserve">JOINERY - KITCHEN, BATHROOM, LAUNDRY</t>
  </si>
  <si>
    <t xml:space="preserve">FINISH CARPENTRY - INTERNAL FINISHING AND DETAIL WORKS</t>
  </si>
  <si>
    <t xml:space="preserve">WATERPROOFING &amp; SCREED BEDS</t>
  </si>
  <si>
    <t xml:space="preserve">TILE SUPPLY ALLOWANCE</t>
  </si>
  <si>
    <t xml:space="preserve">TILING LABOUR</t>
  </si>
  <si>
    <t xml:space="preserve">TIMBER FLOORING - SUPPLY &amp; INSTALLATION</t>
  </si>
  <si>
    <t xml:space="preserve">FLOOR FINISHING - SANDING &amp; POLISHING</t>
  </si>
  <si>
    <t xml:space="preserve">PAINTING - INTERNAL &amp; EXTERNAL</t>
  </si>
  <si>
    <t xml:space="preserve">RENDER AND MICRO-CEMENT - INTERNAL &amp; EXTERNAL</t>
  </si>
  <si>
    <t xml:space="preserve">PLUMBING - INTERNAL FIXTURES</t>
  </si>
  <si>
    <t xml:space="preserve">ELECTRICAL - LIGHT FITTINGS</t>
  </si>
  <si>
    <t xml:space="preserve">LANDSCAPING &amp; CIVIL - HARDSCAPING, RETAINING WALLS, DRIVEWAYS</t>
  </si>
  <si>
    <t xml:space="preserve">LANDSCAPING - SOFTSCAPING, PLANTS, MULCH, TURF</t>
  </si>
  <si>
    <t xml:space="preserve">PLUMBING - WATER TANKS, PUMPS, SEPTIC REQUIREMENTS</t>
  </si>
  <si>
    <t xml:space="preserve">APPLIANCES - OVENS, FRIDGES, ETC.</t>
  </si>
  <si>
    <t xml:space="preserve">PROVISIONAL SUMS</t>
  </si>
  <si>
    <t xml:space="preserve">PRIME COST ALLOWANCE</t>
  </si>
  <si>
    <t xml:space="preserve">PROJECT OVERHEAD COSTS</t>
  </si>
  <si>
    <t xml:space="preserve">SUBTOTAL  (excl. margin &amp; GST)</t>
  </si>
  <si>
    <t xml:space="preserve">Builder Margin  (@ rate in D6)</t>
  </si>
  <si>
    <t xml:space="preserve">TOTAL  EXCL. GST</t>
  </si>
  <si>
    <t xml:space="preserve">GST  (@ rate in E6)</t>
  </si>
  <si>
    <t xml:space="preserve">TOTAL  INCL. GST</t>
  </si>
  <si>
    <t xml:space="preserve">VARIATION REGISTER  —  FORMAL APPROVAL LOG</t>
  </si>
  <si>
    <t xml:space="preserve">Status = "Approved" | "Pending" | "Rejected".  Only APPROVED variations update the Revised Budget in BOQ Summary.</t>
  </si>
  <si>
    <t xml:space="preserve">VO No.</t>
  </si>
  <si>
    <t xml:space="preserve">Description of Variation</t>
  </si>
  <si>
    <t xml:space="preserve">Amount
(excl. GST) ($)</t>
  </si>
  <si>
    <t xml:space="preserve">Status</t>
  </si>
  <si>
    <t xml:space="preserve">Submitted By</t>
  </si>
  <si>
    <t xml:space="preserve">Date
Submitted</t>
  </si>
  <si>
    <t xml:space="preserve">Date
Approved</t>
  </si>
  <si>
    <t xml:space="preserve">Approved By</t>
  </si>
  <si>
    <t xml:space="preserve">TOTAL APPROVED VARIATIONS</t>
  </si>
  <si>
    <t xml:space="preserve">INVOICE REGISTER  —  CONTRACTOR &amp; SUPPLIER INVOICES</t>
  </si>
  <si>
    <t xml:space="preserve">Status = "Paid" | "Approved" | "Pending" | "Disputed".  Paid and Approved invoices draw down Actual Cost to Date automatically.</t>
  </si>
  <si>
    <t xml:space="preserve">Invoice No.</t>
  </si>
  <si>
    <t xml:space="preserve">Contractor / Supplier</t>
  </si>
  <si>
    <t xml:space="preserve">PO / Contract Ref.</t>
  </si>
  <si>
    <t xml:space="preserve">Invoice Date</t>
  </si>
  <si>
    <t xml:space="preserve">Invoice Amt
(excl. GST) ($)</t>
  </si>
  <si>
    <t xml:space="preserve">GST ($)</t>
  </si>
  <si>
    <t xml:space="preserve">Total Invoice
(incl. GST) ($)</t>
  </si>
  <si>
    <t xml:space="preserve">Due Date</t>
  </si>
  <si>
    <t xml:space="preserve">Date Paid</t>
  </si>
  <si>
    <t xml:space="preserve">Retention
Held ($)</t>
  </si>
  <si>
    <t xml:space="preserve">Progress
Claim No.</t>
  </si>
  <si>
    <t xml:space="preserve">TOTALS</t>
  </si>
  <si>
    <t xml:space="preserve">PROGRESS CLAIMS REGISTER</t>
  </si>
  <si>
    <t xml:space="preserve">Track formal progress claims per contractor.  Link to invoices via Progress Claim No. in the Invoice Register.</t>
  </si>
  <si>
    <t xml:space="preserve">Contractor</t>
  </si>
  <si>
    <t xml:space="preserve">Description of Claim</t>
  </si>
  <si>
    <t xml:space="preserve">Claim No.</t>
  </si>
  <si>
    <t xml:space="preserve">Claim Date</t>
  </si>
  <si>
    <t xml:space="preserve">Claim Amt
(excl. GST) ($)</t>
  </si>
  <si>
    <t xml:space="preserve">Total Claim
(incl. GST) ($)</t>
  </si>
  <si>
    <t xml:space="preserve">Certified
Amt ($)</t>
  </si>
  <si>
    <t xml:space="preserve">Date
Certified</t>
  </si>
  <si>
    <t xml:space="preserve">PURCHASE ORDER REGISTER  —  COMMITTED COSTS</t>
  </si>
  <si>
    <t xml:space="preserve">PO Value feeds Committed Cost in BOQ Summary.  Remaining Commitment = PO Value minus invoiced-to-date.</t>
  </si>
  <si>
    <t xml:space="preserve">PO / Contract No.</t>
  </si>
  <si>
    <t xml:space="preserve">PO Date</t>
  </si>
  <si>
    <t xml:space="preserve">PO Value
(excl. GST) ($)</t>
  </si>
  <si>
    <t xml:space="preserve">Invoiced
to Date ($)</t>
  </si>
  <si>
    <t xml:space="preserve">Remaining
Commitment ($)</t>
  </si>
  <si>
    <t xml:space="preserve">Expected
Completion</t>
  </si>
  <si>
    <t xml:space="preserve">CASH FLOW FORECAST  —  MONTHLY EXPENDITURE</t>
  </si>
  <si>
    <t xml:space="preserve">Enter forecast spend per cost code per month (excl. GST).  Relabel Month 1–12 with actual month names in row 6.  Total Forecast must not exceed the Revised Budget.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</si>
  <si>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</si>
  <si>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</si>
  <si>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</si>
  <si>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</si>
  <si>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</si>
  <si>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</si>
  <si>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</si>
  <si>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</si>
  <si>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</si>
  <si>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</si>
  <si>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</si>
  <si>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</si>
  <si>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TOTAL
FORECAST ($)</t>
  </si>
  <si>
    <t xml:space="preserve">REVISED
BUDGET ($)</t>
  </si>
  <si>
    <t xml:space="preserve">MONTHLY TOTAL</t>
  </si>
  <si>
    <t xml:space="preserve">CUMULATIVE SPEND</t>
  </si>
  <si>
    <t xml:space="preserve">SITE DIARY  —  DAILY LOG, PERSONNEL &amp; EXPENDITURE</t>
  </si>
  <si>
    <t xml:space="preserve">DATE &amp; CONDITIONS</t>
  </si>
  <si>
    <t xml:space="preserve">FINANCIALS</t>
  </si>
  <si>
    <t xml:space="preserve">LABOUR</t>
  </si>
  <si>
    <t xml:space="preserve">SITE ACTIVITIES</t>
  </si>
  <si>
    <t xml:space="preserve">OBSERVATIONS &amp; NOTES</t>
  </si>
  <si>
    <t xml:space="preserve">Date</t>
  </si>
  <si>
    <t xml:space="preserve">Day</t>
  </si>
  <si>
    <t xml:space="preserve">Weather</t>
  </si>
  <si>
    <t xml:space="preserve">Temp
(°C)</t>
  </si>
  <si>
    <t xml:space="preserve">Site Supervisor</t>
  </si>
  <si>
    <t xml:space="preserve">No.
Personnel</t>
  </si>
  <si>
    <t xml:space="preserve">Cost
Code</t>
  </si>
  <si>
    <t xml:space="preserve">Daily
Expend. ($)</t>
  </si>
  <si>
    <t xml:space="preserve">Total
Hours</t>
  </si>
  <si>
    <t xml:space="preserve">Trades / Personnel On Site</t>
  </si>
  <si>
    <t xml:space="preserve">Works Completed Today</t>
  </si>
  <si>
    <t xml:space="preserve">Materials Delivered</t>
  </si>
  <si>
    <t xml:space="preserve">Plant &amp; Equipment
On Site</t>
  </si>
  <si>
    <t xml:space="preserve">Issues / Delays</t>
  </si>
  <si>
    <t xml:space="preserve">Visitors On Site</t>
  </si>
  <si>
    <t xml:space="preserve">Health &amp; Safety
Observations</t>
  </si>
  <si>
    <t xml:space="preserve">Notes / Instructions</t>
  </si>
  <si>
    <t xml:space="preserve">MODEL GUIDE  —  HOW TO USE</t>
  </si>
  <si>
    <t xml:space="preserve">COLOUR CODING</t>
  </si>
  <si>
    <t xml:space="preserve">Blue text</t>
  </si>
  <si>
    <t xml:space="preserve">Input cells — the only cells you should type into.</t>
  </si>
  <si>
    <t xml:space="preserve">Black text</t>
  </si>
  <si>
    <t xml:space="preserve">Formula cells — auto-calculate. Do not edit.</t>
  </si>
  <si>
    <t xml:space="preserve">Green text</t>
  </si>
  <si>
    <t xml:space="preserve">Cross-sheet links pulling data from another tab.</t>
  </si>
  <si>
    <t xml:space="preserve">Yellow/amber fill (Site Diary col I)</t>
  </si>
  <si>
    <t xml:space="preserve">Daily expenditure — financial input that feeds the BOQ Summary.</t>
  </si>
  <si>
    <t xml:space="preserve">RAG STATUS</t>
  </si>
  <si>
    <t xml:space="preserve">✔ OK</t>
  </si>
  <si>
    <t xml:space="preserve">Forecast Final Cost is at or under the Revised Budget.</t>
  </si>
  <si>
    <t xml:space="preserve">▲ RISK</t>
  </si>
  <si>
    <t xml:space="preserve">FFC is 0–10% over Revised Budget. Monitor closely.</t>
  </si>
  <si>
    <t xml:space="preserve">✖ OVER</t>
  </si>
  <si>
    <t xml:space="preserve">FFC exceeds Revised Budget by more than 10%. Action required.</t>
  </si>
  <si>
    <t xml:space="preserve">SHEET GUIDE &amp; WORKFLOW</t>
  </si>
  <si>
    <t xml:space="preserve">Step 1  —  BOQ Detail</t>
  </si>
  <si>
    <t xml:space="preserve">Enter sub-line items (001.1, 001.2…) with Qty, Unit, Rate. Amounts calculate. These roll up to BOQ Summary original budgets.</t>
  </si>
  <si>
    <t xml:space="preserve">Step 2  —  BOQ Summary</t>
  </si>
  <si>
    <t xml:space="preserve">Review rolled-up budgets. Adjust Builder Margin (D6) and GST rate (E6) if needed. All other columns auto-populate.</t>
  </si>
  <si>
    <t xml:space="preserve">Step 3  —  PO Register</t>
  </si>
  <si>
    <t xml:space="preserve">Enter purchase orders as you engage contractors. PO values feed Committed Cost in BOQ Summary.</t>
  </si>
  <si>
    <t xml:space="preserve">Step 4  —  Variation Register</t>
  </si>
  <si>
    <t xml:space="preserve">Log every variation immediately (even Pending). Only "Approved" status updates the Revised Budget.</t>
  </si>
  <si>
    <t xml:space="preserve">Step 5  —  Invoice Register</t>
  </si>
  <si>
    <t xml:space="preserve">Enter every invoice. "Approved" = certified for payment. "Paid" = payment made. Both count toward Actual CTD.</t>
  </si>
  <si>
    <t xml:space="preserve">Step 6  —  Progress Claims</t>
  </si>
  <si>
    <t xml:space="preserve">Log progress claims per contractor. Link to invoices via Progress Claim No.</t>
  </si>
  <si>
    <t xml:space="preserve">Step 7  —  Site Diary</t>
  </si>
  <si>
    <t xml:space="preserve">Fill in daily — date, weather, personnel, cost code, expenditure, works completed. Column I (Daily Expenditure) is yellow and feeds directly into BOQ Summary Actual Cost to Date. The running totals at the top of the sheet update automatically.</t>
  </si>
  <si>
    <t xml:space="preserve">Step 8  —  Dashboard</t>
  </si>
  <si>
    <t xml:space="preserve">Review weekly. KPI row shows overall project health. RAG column flags cost codes needing attention.</t>
  </si>
  <si>
    <t xml:space="preserve">Step 9  —  Cash Flow</t>
  </si>
  <si>
    <t xml:space="preserve">Rename Month 1–12. Enter forecast spend per CC per month. Compare to Revised Budget (right column).</t>
  </si>
  <si>
    <t xml:space="preserve">SITE DIARY — COLUMN GUIDE</t>
  </si>
  <si>
    <t xml:space="preserve">Enter the site date. Day of week calculates automatically.</t>
  </si>
  <si>
    <t xml:space="preserve">Fine / Partly Cloudy / Overcast / Raining / Heavy Rain / Windy / Storm</t>
  </si>
  <si>
    <t xml:space="preserve">No. Personnel</t>
  </si>
  <si>
    <t xml:space="preserve">Total headcount on site that day.</t>
  </si>
  <si>
    <t xml:space="preserve">Cost Code</t>
  </si>
  <si>
    <t xml:space="preserve">Primary cost code for the day's main works (e.g. "014"). Used to roll up daily expenditure.</t>
  </si>
  <si>
    <t xml:space="preserve">Daily Expenditure ($)</t>
  </si>
  <si>
    <t xml:space="preserve">Any cost incurred on site that day — materials, labour cash payments, hire items etc. This feeds directly into BOQ Summary Actual CTD for the nominated cost code.</t>
  </si>
  <si>
    <t xml:space="preserve">Total Hours</t>
  </si>
  <si>
    <t xml:space="preserve">Total labour hours worked across all personnel that day.</t>
  </si>
  <si>
    <t xml:space="preserve">Trades / Personnel</t>
  </si>
  <si>
    <t xml:space="preserve">List names and trades of everyone on site (e.g. "J. Smith - Carpenter, M. Lee - Electrician").</t>
  </si>
  <si>
    <t xml:space="preserve">Works Completed</t>
  </si>
  <si>
    <t xml:space="preserve">Detailed description of works completed. Be specific — this is your legal record.</t>
  </si>
  <si>
    <t xml:space="preserve">Record all material deliveries with supplier, quantity and docket number if possible.</t>
  </si>
  <si>
    <t xml:space="preserve">Plant &amp; Equipment</t>
  </si>
  <si>
    <t xml:space="preserve">List any hired or owned plant on site (e.g. "Scissor lift — Kennards, 5.8m").</t>
  </si>
  <si>
    <t xml:space="preserve">Document any delays, defects, disputes, or programme impacts. Critical for variation substantiation.</t>
  </si>
  <si>
    <t xml:space="preserve">H&amp;S Observations</t>
  </si>
  <si>
    <t xml:space="preserve">Record any safety observations, near misses, incidents, or toolbox talks.</t>
  </si>
  <si>
    <t xml:space="preserve">KEY FORMULAS</t>
  </si>
  <si>
    <t xml:space="preserve">Revised Budget</t>
  </si>
  <si>
    <t xml:space="preserve">Original Budget (from BOQ Detail) + Approved Variations.</t>
  </si>
  <si>
    <t xml:space="preserve">Forecast Final Cost</t>
  </si>
  <si>
    <t xml:space="preserve">The higher of Committed Cost and Actual CTD — conservative estimate of final cost.</t>
  </si>
  <si>
    <t xml:space="preserve">Variance</t>
  </si>
  <si>
    <t xml:space="preserve">Revised Budget minus FFC. Positive = under budget. Negative = over budget.</t>
  </si>
  <si>
    <t xml:space="preserve">Budget Balance</t>
  </si>
  <si>
    <t xml:space="preserve">Revised Budget minus Actual CTD. Remaining unspent budget.</t>
  </si>
  <si>
    <t xml:space="preserve">Actual CTD</t>
  </si>
  <si>
    <t xml:space="preserve">Sum of Approved + Paid invoices + daily Site Diary expenditure for the cost code.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</si>
</sst>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;\(#,##0\);\-"/>
    <numFmt numFmtId="167" formatCode="0.0%;\(0.0%\);\-"/>
    <numFmt numFmtId="168" formatCode="#,##0.00;\(#,##0.00\);\-"/>
    <numFmt numFmtId="169" formatCode="#,##0.0;\(#,##0.0\);\-"/>
    <numFmt numFmtId="170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FFFFF"/>
      <name val="Aptos"/>
      <family val="0"/>
      <charset val="1"/>
    </font>
    <font>
      <b val="true"/>
      <sz val="9"/>
      <color rgb="FF6B7280"/>
      <name val="Aptos"/>
      <family val="0"/>
      <charset val="1"/>
    </font>
    <font>
      <sz val="10"/>
      <color rgb="FF2563EB"/>
      <name val="Aptos"/>
      <family val="0"/>
      <charset val="1"/>
    </font>
    <font>
      <sz val="10"/>
      <color rgb="FF111827"/>
      <name val="Aptos"/>
      <family val="0"/>
      <charset val="1"/>
    </font>
    <font>
      <sz val="9"/>
      <color rgb="FFFFFFFF"/>
      <name val="Aptos"/>
      <family val="0"/>
      <charset val="1"/>
    </font>
    <font>
      <b val="true"/>
      <sz val="8"/>
      <color rgb="FF0D9488"/>
      <name val="Aptos"/>
      <family val="0"/>
      <charset val="1"/>
    </font>
    <font>
      <b val="true"/>
      <sz val="12"/>
      <color rgb="FF111827"/>
      <name val="Aptos"/>
      <family val="0"/>
      <charset val="1"/>
    </font>
    <font>
      <sz val="8"/>
      <color rgb="FF9CA3AF"/>
      <name val="Aptos"/>
      <family val="0"/>
      <charset val="1"/>
    </font>
    <font>
      <sz val="10"/>
      <color rgb="FF065F46"/>
      <name val="Aptos"/>
      <family val="0"/>
      <charset val="1"/>
    </font>
    <font>
      <b val="true"/>
      <sz val="9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i val="true"/>
      <sz val="9"/>
      <color rgb="FF666666"/>
      <name val="Aptos"/>
      <family val="0"/>
      <charset val="1"/>
    </font>
    <font>
      <b val="true"/>
      <sz val="10"/>
      <color rgb="FF111827"/>
      <name val="Aptos"/>
      <family val="0"/>
      <charset val="1"/>
    </font>
    <font>
      <i val="true"/>
      <sz val="9"/>
      <color rgb="FF888888"/>
      <name val="Aptos"/>
      <family val="0"/>
      <charset val="1"/>
    </font>
    <font>
      <b val="true"/>
      <sz val="8"/>
      <color rgb="FFFFFFFF"/>
      <name val="Apto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C1C1E"/>
        <bgColor rgb="FF111827"/>
      </patternFill>
    </fill>
    <fill>
      <patternFill patternType="solid">
        <fgColor rgb="FFF3F4F6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0D9488"/>
        <bgColor rgb="FF339966"/>
      </patternFill>
    </fill>
    <fill>
      <patternFill patternType="solid">
        <fgColor rgb="FFF0FDFA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374151"/>
        <bgColor rgb="FF333399"/>
      </patternFill>
    </fill>
    <fill>
      <patternFill patternType="solid">
        <fgColor rgb="FFE6FFFA"/>
        <bgColor rgb="FFF0FD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D9488"/>
      <rgbColor rgb="FFC0C0C0"/>
      <rgbColor rgb="FF888888"/>
      <rgbColor rgb="FF9999FF"/>
      <rgbColor rgb="FF993366"/>
      <rgbColor rgb="FFF9FAFB"/>
      <rgbColor rgb="FFE6FF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0FDFA"/>
      <rgbColor rgb="FFE5E7EB"/>
      <rgbColor rgb="FFF3F4F6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111827"/>
      <rgbColor rgb="FF1C1C1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C1E"/>
    <pageSetUpPr fitToPage="true"/>
  </sheetPr>
  <dimension ref="B2:L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9" min="4" style="0" width="14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4"/>
  </cols>
  <sheetData>
    <row r="2" customFormat="false" ht="39.75" hidden="false" customHeight="true" outlineLevel="0" collapsed="false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.5" hidden="false" customHeight="true" outlineLevel="0" collapsed="false"/>
    <row r="4" customFormat="false" ht="18.75" hidden="false" customHeight="true" outlineLevel="0" collapsed="false">
      <c r="B4" s="3" t="s">
        <v>1</v>
      </c>
      <c r="C4" s="4" t="s">
        <v>2</v>
      </c>
      <c r="D4" s="5"/>
      <c r="E4" s="5"/>
      <c r="F4" s="5"/>
      <c r="G4" s="5"/>
      <c r="H4" s="5"/>
      <c r="I4" s="5"/>
      <c r="J4" s="5"/>
      <c r="K4" s="5"/>
      <c r="L4" s="5"/>
    </row>
    <row r="5" customFormat="false" ht="18.75" hidden="false" customHeight="true" outlineLevel="0" collapsed="false">
      <c r="B5" s="3" t="s">
        <v>3</v>
      </c>
      <c r="C5" s="4" t="s">
        <v>4</v>
      </c>
      <c r="D5" s="5"/>
      <c r="E5" s="5"/>
      <c r="F5" s="5"/>
      <c r="G5" s="5"/>
      <c r="H5" s="5"/>
      <c r="I5" s="5"/>
      <c r="J5" s="5"/>
      <c r="K5" s="5"/>
      <c r="L5" s="5"/>
    </row>
    <row r="6" customFormat="false" ht="18.75" hidden="false" customHeight="true" outlineLevel="0" collapsed="false">
      <c r="B6" s="3" t="s">
        <v>5</v>
      </c>
      <c r="C6" s="4"/>
      <c r="D6" s="5"/>
      <c r="E6" s="5"/>
      <c r="F6" s="5"/>
      <c r="G6" s="5"/>
      <c r="H6" s="5"/>
      <c r="I6" s="5"/>
      <c r="J6" s="5"/>
      <c r="K6" s="5"/>
      <c r="L6" s="5"/>
    </row>
    <row r="7" customFormat="false" ht="18.75" hidden="false" customHeight="true" outlineLevel="0" collapsed="false">
      <c r="B7" s="3" t="s">
        <v>6</v>
      </c>
      <c r="C7" s="6" t="n">
        <f aca="true">TODAY()</f>
        <v>46086</v>
      </c>
      <c r="D7" s="5"/>
      <c r="E7" s="5"/>
      <c r="F7" s="5"/>
      <c r="G7" s="5"/>
      <c r="H7" s="5"/>
      <c r="I7" s="5"/>
      <c r="J7" s="5"/>
      <c r="K7" s="5"/>
      <c r="L7" s="5"/>
    </row>
    <row r="8" customFormat="false" ht="4.5" hidden="false" customHeight="true" outlineLevel="0" collapsed="false"/>
    <row r="9" customFormat="false" ht="21.75" hidden="false" customHeight="true" outlineLevel="0" collapsed="false">
      <c r="B9" s="7" t="s">
        <v>7</v>
      </c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24" hidden="false" customHeight="true" outlineLevel="0" collapsed="false">
      <c r="B10" s="9" t="s">
        <v>8</v>
      </c>
      <c r="C10" s="9"/>
      <c r="D10" s="9" t="s">
        <v>9</v>
      </c>
      <c r="E10" s="9"/>
      <c r="F10" s="9" t="s">
        <v>10</v>
      </c>
      <c r="G10" s="9"/>
      <c r="H10" s="9" t="s">
        <v>11</v>
      </c>
      <c r="I10" s="9"/>
      <c r="J10" s="9" t="s">
        <v>12</v>
      </c>
      <c r="K10" s="9"/>
      <c r="L10" s="10"/>
    </row>
    <row r="11" customFormat="false" ht="21.75" hidden="false" customHeight="true" outlineLevel="0" collapsed="false">
      <c r="B11" s="11" t="n">
        <f aca="false">'BOQ Summary'!D54</f>
        <v>0</v>
      </c>
      <c r="C11" s="5"/>
      <c r="D11" s="11" t="n">
        <f aca="false">'BOQ Summary'!F54</f>
        <v>0</v>
      </c>
      <c r="E11" s="5"/>
      <c r="F11" s="11" t="n">
        <f aca="false">'BOQ Summary'!G54</f>
        <v>0</v>
      </c>
      <c r="G11" s="5"/>
      <c r="H11" s="11" t="n">
        <f aca="false">'BOQ Summary'!I54</f>
        <v>0</v>
      </c>
      <c r="I11" s="5"/>
      <c r="J11" s="11" t="n">
        <f aca="false">'BOQ Summary'!J54</f>
        <v>0</v>
      </c>
      <c r="K11" s="5"/>
      <c r="L11" s="5"/>
    </row>
    <row r="12" customFormat="false" ht="24" hidden="false" customHeight="true" outlineLevel="0" collapsed="false">
      <c r="B12" s="12" t="s">
        <v>13</v>
      </c>
      <c r="C12" s="12"/>
      <c r="D12" s="12" t="s">
        <v>14</v>
      </c>
      <c r="E12" s="12"/>
      <c r="F12" s="12" t="s">
        <v>15</v>
      </c>
      <c r="G12" s="12"/>
      <c r="H12" s="12" t="s">
        <v>16</v>
      </c>
      <c r="I12" s="12"/>
      <c r="J12" s="12" t="s">
        <v>17</v>
      </c>
      <c r="K12" s="12"/>
      <c r="L12" s="13"/>
    </row>
    <row r="13" customFormat="false" ht="15" hidden="false" customHeight="false" outlineLevel="0" collapsed="false">
      <c r="B13" s="11" t="n">
        <f aca="false">'BOQ Summary'!G54*'BOQ Summary'!$D$6</f>
        <v>0</v>
      </c>
      <c r="C13" s="5"/>
      <c r="D13" s="11" t="n">
        <f aca="false">'BOQ Summary'!G54*(1+'BOQ Summary'!$D$6)</f>
        <v>0</v>
      </c>
      <c r="E13" s="5"/>
      <c r="F13" s="11" t="n">
        <f aca="false">'BOQ Summary'!K54</f>
        <v>0</v>
      </c>
      <c r="G13" s="5"/>
      <c r="H13" s="14" t="n">
        <f aca="false">IFERROR('BOQ Summary'!I54/'BOQ Summary'!G54,0)</f>
        <v>0</v>
      </c>
      <c r="I13" s="5"/>
      <c r="J13" s="11" t="n">
        <f aca="false">'BOQ Summary'!L54</f>
        <v>0</v>
      </c>
      <c r="K13" s="5"/>
      <c r="L13" s="5"/>
    </row>
    <row r="14" customFormat="false" ht="4.5" hidden="false" customHeight="true" outlineLevel="0" collapsed="false"/>
    <row r="15" customFormat="false" ht="21.75" hidden="false" customHeight="true" outlineLevel="0" collapsed="false">
      <c r="B15" s="7" t="s">
        <v>18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27.75" hidden="false" customHeight="true" outlineLevel="0" collapsed="false">
      <c r="B16" s="15" t="s">
        <v>19</v>
      </c>
      <c r="C16" s="15" t="s">
        <v>20</v>
      </c>
      <c r="D16" s="15" t="s">
        <v>8</v>
      </c>
      <c r="E16" s="15" t="s">
        <v>9</v>
      </c>
      <c r="F16" s="15" t="s">
        <v>10</v>
      </c>
      <c r="G16" s="15" t="s">
        <v>21</v>
      </c>
      <c r="H16" s="15" t="s">
        <v>22</v>
      </c>
      <c r="I16" s="15" t="s">
        <v>12</v>
      </c>
      <c r="J16" s="15" t="s">
        <v>15</v>
      </c>
      <c r="K16" s="15" t="s">
        <v>23</v>
      </c>
      <c r="L16" s="15" t="s">
        <v>24</v>
      </c>
    </row>
    <row r="17" customFormat="false" ht="15" hidden="false" customHeight="true" outlineLevel="0" collapsed="false">
      <c r="B17" s="16" t="str">
        <f aca="false">'BOQ Summary'!B10</f>
        <v>001</v>
      </c>
      <c r="C17" s="17" t="str">
        <f aca="false">'BOQ Summary'!C10</f>
        <v>PRELIMINARY COSTS, CONSULTANT FEES, SITE ESTABLISHMENT</v>
      </c>
      <c r="D17" s="18" t="n">
        <f aca="false">'BOQ Summary'!D10</f>
        <v>0</v>
      </c>
      <c r="E17" s="18" t="n">
        <f aca="false">'BOQ Summary'!F10</f>
        <v>0</v>
      </c>
      <c r="F17" s="18" t="n">
        <f aca="false">'BOQ Summary'!G10</f>
        <v>0</v>
      </c>
      <c r="G17" s="18" t="n">
        <f aca="false">'BOQ Summary'!H10</f>
        <v>0</v>
      </c>
      <c r="H17" s="18" t="n">
        <f aca="false">'BOQ Summary'!I10</f>
        <v>0</v>
      </c>
      <c r="I17" s="18" t="n">
        <f aca="false">'BOQ Summary'!J10</f>
        <v>0</v>
      </c>
      <c r="J17" s="18" t="n">
        <f aca="false">'BOQ Summary'!K10</f>
        <v>0</v>
      </c>
      <c r="K17" s="19" t="n">
        <f aca="false">IFERROR(H17/F17,0)</f>
        <v>0</v>
      </c>
      <c r="L17" s="20" t="str">
        <f aca="false">IF(F17=0,"—",IF(I17&lt;=F17,"✔ OK",IF(I17&lt;=F17*1.1,"▲ RISK","✖ OVER")))</f>
        <v>—</v>
      </c>
    </row>
    <row r="18" customFormat="false" ht="15" hidden="false" customHeight="true" outlineLevel="0" collapsed="false">
      <c r="B18" s="21" t="str">
        <f aca="false">'BOQ Summary'!B11</f>
        <v>002</v>
      </c>
      <c r="C18" s="22" t="str">
        <f aca="false">'BOQ Summary'!C11</f>
        <v>SITE HIRE ITEMS</v>
      </c>
      <c r="D18" s="23" t="n">
        <f aca="false">'BOQ Summary'!D11</f>
        <v>0</v>
      </c>
      <c r="E18" s="23" t="n">
        <f aca="false">'BOQ Summary'!F11</f>
        <v>0</v>
      </c>
      <c r="F18" s="23" t="n">
        <f aca="false">'BOQ Summary'!G11</f>
        <v>0</v>
      </c>
      <c r="G18" s="23" t="n">
        <f aca="false">'BOQ Summary'!H11</f>
        <v>0</v>
      </c>
      <c r="H18" s="23" t="n">
        <f aca="false">'BOQ Summary'!I11</f>
        <v>0</v>
      </c>
      <c r="I18" s="23" t="n">
        <f aca="false">'BOQ Summary'!J11</f>
        <v>0</v>
      </c>
      <c r="J18" s="23" t="n">
        <f aca="false">'BOQ Summary'!K11</f>
        <v>0</v>
      </c>
      <c r="K18" s="24" t="n">
        <f aca="false">IFERROR(H18/F18,0)</f>
        <v>0</v>
      </c>
      <c r="L18" s="25" t="str">
        <f aca="false">IF(F18=0,"—",IF(I18&lt;=F18,"✔ OK",IF(I18&lt;=F18*1.1,"▲ RISK","✖ OVER")))</f>
        <v>—</v>
      </c>
    </row>
    <row r="19" customFormat="false" ht="15" hidden="false" customHeight="true" outlineLevel="0" collapsed="false">
      <c r="B19" s="16" t="str">
        <f aca="false">'BOQ Summary'!B12</f>
        <v>003</v>
      </c>
      <c r="C19" s="17" t="str">
        <f aca="false">'BOQ Summary'!C12</f>
        <v>SURVEYING - SET-OUT, TBM, PINS</v>
      </c>
      <c r="D19" s="18" t="n">
        <f aca="false">'BOQ Summary'!D12</f>
        <v>0</v>
      </c>
      <c r="E19" s="18" t="n">
        <f aca="false">'BOQ Summary'!F12</f>
        <v>0</v>
      </c>
      <c r="F19" s="18" t="n">
        <f aca="false">'BOQ Summary'!G12</f>
        <v>0</v>
      </c>
      <c r="G19" s="18" t="n">
        <f aca="false">'BOQ Summary'!H12</f>
        <v>0</v>
      </c>
      <c r="H19" s="18" t="n">
        <f aca="false">'BOQ Summary'!I12</f>
        <v>0</v>
      </c>
      <c r="I19" s="18" t="n">
        <f aca="false">'BOQ Summary'!J12</f>
        <v>0</v>
      </c>
      <c r="J19" s="18" t="n">
        <f aca="false">'BOQ Summary'!K12</f>
        <v>0</v>
      </c>
      <c r="K19" s="19" t="n">
        <f aca="false">IFERROR(H19/F19,0)</f>
        <v>0</v>
      </c>
      <c r="L19" s="20" t="str">
        <f aca="false">IF(F19=0,"—",IF(I19&lt;=F19,"✔ OK",IF(I19&lt;=F19*1.1,"▲ RISK","✖ OVER")))</f>
        <v>—</v>
      </c>
    </row>
    <row r="20" customFormat="false" ht="15" hidden="false" customHeight="true" outlineLevel="0" collapsed="false">
      <c r="B20" s="21" t="str">
        <f aca="false">'BOQ Summary'!B13</f>
        <v>004</v>
      </c>
      <c r="C20" s="22" t="str">
        <f aca="false">'BOQ Summary'!C13</f>
        <v>STRUCTURAL STEEL - SUPPLY AND INSTALLATION</v>
      </c>
      <c r="D20" s="23" t="n">
        <f aca="false">'BOQ Summary'!D13</f>
        <v>0</v>
      </c>
      <c r="E20" s="23" t="n">
        <f aca="false">'BOQ Summary'!F13</f>
        <v>0</v>
      </c>
      <c r="F20" s="23" t="n">
        <f aca="false">'BOQ Summary'!G13</f>
        <v>0</v>
      </c>
      <c r="G20" s="23" t="n">
        <f aca="false">'BOQ Summary'!H13</f>
        <v>0</v>
      </c>
      <c r="H20" s="23" t="n">
        <f aca="false">'BOQ Summary'!I13</f>
        <v>0</v>
      </c>
      <c r="I20" s="23" t="n">
        <f aca="false">'BOQ Summary'!J13</f>
        <v>0</v>
      </c>
      <c r="J20" s="23" t="n">
        <f aca="false">'BOQ Summary'!K13</f>
        <v>0</v>
      </c>
      <c r="K20" s="24" t="n">
        <f aca="false">IFERROR(H20/F20,0)</f>
        <v>0</v>
      </c>
      <c r="L20" s="25" t="str">
        <f aca="false">IF(F20=0,"—",IF(I20&lt;=F20,"✔ OK",IF(I20&lt;=F20*1.1,"▲ RISK","✖ OVER")))</f>
        <v>—</v>
      </c>
    </row>
    <row r="21" customFormat="false" ht="15" hidden="false" customHeight="true" outlineLevel="0" collapsed="false">
      <c r="B21" s="16" t="str">
        <f aca="false">'BOQ Summary'!B14</f>
        <v>005</v>
      </c>
      <c r="C21" s="17" t="str">
        <f aca="false">'BOQ Summary'!C14</f>
        <v>STRUCTURAL CONCRETE - FOUNDATIONS, PIERS, SLAB</v>
      </c>
      <c r="D21" s="18" t="n">
        <f aca="false">'BOQ Summary'!D14</f>
        <v>0</v>
      </c>
      <c r="E21" s="18" t="n">
        <f aca="false">'BOQ Summary'!F14</f>
        <v>0</v>
      </c>
      <c r="F21" s="18" t="n">
        <f aca="false">'BOQ Summary'!G14</f>
        <v>0</v>
      </c>
      <c r="G21" s="18" t="n">
        <f aca="false">'BOQ Summary'!H14</f>
        <v>0</v>
      </c>
      <c r="H21" s="18" t="n">
        <f aca="false">'BOQ Summary'!I14</f>
        <v>0</v>
      </c>
      <c r="I21" s="18" t="n">
        <f aca="false">'BOQ Summary'!J14</f>
        <v>0</v>
      </c>
      <c r="J21" s="18" t="n">
        <f aca="false">'BOQ Summary'!K14</f>
        <v>0</v>
      </c>
      <c r="K21" s="19" t="n">
        <f aca="false">IFERROR(H21/F21,0)</f>
        <v>0</v>
      </c>
      <c r="L21" s="20" t="str">
        <f aca="false">IF(F21=0,"—",IF(I21&lt;=F21,"✔ OK",IF(I21&lt;=F21*1.1,"▲ RISK","✖ OVER")))</f>
        <v>—</v>
      </c>
    </row>
    <row r="22" customFormat="false" ht="15" hidden="false" customHeight="true" outlineLevel="0" collapsed="false">
      <c r="B22" s="21" t="str">
        <f aca="false">'BOQ Summary'!B15</f>
        <v>006</v>
      </c>
      <c r="C22" s="22" t="str">
        <f aca="false">'BOQ Summary'!C15</f>
        <v>DRAINAGE PLUMBING - SEPTIC, STORMWATER, AG-DRAINAGE</v>
      </c>
      <c r="D22" s="23" t="n">
        <f aca="false">'BOQ Summary'!D15</f>
        <v>0</v>
      </c>
      <c r="E22" s="23" t="n">
        <f aca="false">'BOQ Summary'!F15</f>
        <v>0</v>
      </c>
      <c r="F22" s="23" t="n">
        <f aca="false">'BOQ Summary'!G15</f>
        <v>0</v>
      </c>
      <c r="G22" s="23" t="n">
        <f aca="false">'BOQ Summary'!H15</f>
        <v>0</v>
      </c>
      <c r="H22" s="23" t="n">
        <f aca="false">'BOQ Summary'!I15</f>
        <v>0</v>
      </c>
      <c r="I22" s="23" t="n">
        <f aca="false">'BOQ Summary'!J15</f>
        <v>0</v>
      </c>
      <c r="J22" s="23" t="n">
        <f aca="false">'BOQ Summary'!K15</f>
        <v>0</v>
      </c>
      <c r="K22" s="24" t="n">
        <f aca="false">IFERROR(H22/F22,0)</f>
        <v>0</v>
      </c>
      <c r="L22" s="25" t="str">
        <f aca="false">IF(F22=0,"—",IF(I22&lt;=F22,"✔ OK",IF(I22&lt;=F22*1.1,"▲ RISK","✖ OVER")))</f>
        <v>—</v>
      </c>
    </row>
    <row r="23" customFormat="false" ht="15" hidden="false" customHeight="true" outlineLevel="0" collapsed="false">
      <c r="B23" s="16" t="str">
        <f aca="false">'BOQ Summary'!B16</f>
        <v>007</v>
      </c>
      <c r="C23" s="17" t="str">
        <f aca="false">'BOQ Summary'!C16</f>
        <v>MEZZANINE &amp; GALLERY / STORAGE FLOOR FRAMING - TIMBER &amp; HARDWARE</v>
      </c>
      <c r="D23" s="18" t="n">
        <f aca="false">'BOQ Summary'!D16</f>
        <v>0</v>
      </c>
      <c r="E23" s="18" t="n">
        <f aca="false">'BOQ Summary'!F16</f>
        <v>0</v>
      </c>
      <c r="F23" s="18" t="n">
        <f aca="false">'BOQ Summary'!G16</f>
        <v>0</v>
      </c>
      <c r="G23" s="18" t="n">
        <f aca="false">'BOQ Summary'!H16</f>
        <v>0</v>
      </c>
      <c r="H23" s="18" t="n">
        <f aca="false">'BOQ Summary'!I16</f>
        <v>0</v>
      </c>
      <c r="I23" s="18" t="n">
        <f aca="false">'BOQ Summary'!J16</f>
        <v>0</v>
      </c>
      <c r="J23" s="18" t="n">
        <f aca="false">'BOQ Summary'!K16</f>
        <v>0</v>
      </c>
      <c r="K23" s="19" t="n">
        <f aca="false">IFERROR(H23/F23,0)</f>
        <v>0</v>
      </c>
      <c r="L23" s="20" t="str">
        <f aca="false">IF(F23=0,"—",IF(I23&lt;=F23,"✔ OK",IF(I23&lt;=F23*1.1,"▲ RISK","✖ OVER")))</f>
        <v>—</v>
      </c>
    </row>
    <row r="24" customFormat="false" ht="15" hidden="false" customHeight="true" outlineLevel="0" collapsed="false">
      <c r="B24" s="21" t="str">
        <f aca="false">'BOQ Summary'!B17</f>
        <v>008</v>
      </c>
      <c r="C24" s="22" t="str">
        <f aca="false">'BOQ Summary'!C17</f>
        <v>CARPENTRY LABOUR - MEZZANINE FLOOR GRADING &amp; LAYING</v>
      </c>
      <c r="D24" s="23" t="n">
        <f aca="false">'BOQ Summary'!D17</f>
        <v>0</v>
      </c>
      <c r="E24" s="23" t="n">
        <f aca="false">'BOQ Summary'!F17</f>
        <v>0</v>
      </c>
      <c r="F24" s="23" t="n">
        <f aca="false">'BOQ Summary'!G17</f>
        <v>0</v>
      </c>
      <c r="G24" s="23" t="n">
        <f aca="false">'BOQ Summary'!H17</f>
        <v>0</v>
      </c>
      <c r="H24" s="23" t="n">
        <f aca="false">'BOQ Summary'!I17</f>
        <v>0</v>
      </c>
      <c r="I24" s="23" t="n">
        <f aca="false">'BOQ Summary'!J17</f>
        <v>0</v>
      </c>
      <c r="J24" s="23" t="n">
        <f aca="false">'BOQ Summary'!K17</f>
        <v>0</v>
      </c>
      <c r="K24" s="24" t="n">
        <f aca="false">IFERROR(H24/F24,0)</f>
        <v>0</v>
      </c>
      <c r="L24" s="25" t="str">
        <f aca="false">IF(F24=0,"—",IF(I24&lt;=F24,"✔ OK",IF(I24&lt;=F24*1.1,"▲ RISK","✖ OVER")))</f>
        <v>—</v>
      </c>
    </row>
    <row r="25" customFormat="false" ht="15" hidden="false" customHeight="true" outlineLevel="0" collapsed="false">
      <c r="B25" s="16" t="str">
        <f aca="false">'BOQ Summary'!B18</f>
        <v>009</v>
      </c>
      <c r="C25" s="17" t="str">
        <f aca="false">'BOQ Summary'!C18</f>
        <v>TERMITE TREATMENT - SPRAY, PENETRATION COLLARS, BAIT TRAPS</v>
      </c>
      <c r="D25" s="18" t="n">
        <f aca="false">'BOQ Summary'!D18</f>
        <v>0</v>
      </c>
      <c r="E25" s="18" t="n">
        <f aca="false">'BOQ Summary'!F18</f>
        <v>0</v>
      </c>
      <c r="F25" s="18" t="n">
        <f aca="false">'BOQ Summary'!G18</f>
        <v>0</v>
      </c>
      <c r="G25" s="18" t="n">
        <f aca="false">'BOQ Summary'!H18</f>
        <v>0</v>
      </c>
      <c r="H25" s="18" t="n">
        <f aca="false">'BOQ Summary'!I18</f>
        <v>0</v>
      </c>
      <c r="I25" s="18" t="n">
        <f aca="false">'BOQ Summary'!J18</f>
        <v>0</v>
      </c>
      <c r="J25" s="18" t="n">
        <f aca="false">'BOQ Summary'!K18</f>
        <v>0</v>
      </c>
      <c r="K25" s="19" t="n">
        <f aca="false">IFERROR(H25/F25,0)</f>
        <v>0</v>
      </c>
      <c r="L25" s="20" t="str">
        <f aca="false">IF(F25=0,"—",IF(I25&lt;=F25,"✔ OK",IF(I25&lt;=F25*1.1,"▲ RISK","✖ OVER")))</f>
        <v>—</v>
      </c>
    </row>
    <row r="26" customFormat="false" ht="15" hidden="false" customHeight="true" outlineLevel="0" collapsed="false">
      <c r="B26" s="21" t="str">
        <f aca="false">'BOQ Summary'!B19</f>
        <v>010</v>
      </c>
      <c r="C26" s="22" t="str">
        <f aca="false">'BOQ Summary'!C19</f>
        <v>GROUND FLOOR &amp; RAISED PLATFORM FRAMING - TIMBER &amp; HARDWARE</v>
      </c>
      <c r="D26" s="23" t="n">
        <f aca="false">'BOQ Summary'!D19</f>
        <v>0</v>
      </c>
      <c r="E26" s="23" t="n">
        <f aca="false">'BOQ Summary'!F19</f>
        <v>0</v>
      </c>
      <c r="F26" s="23" t="n">
        <f aca="false">'BOQ Summary'!G19</f>
        <v>0</v>
      </c>
      <c r="G26" s="23" t="n">
        <f aca="false">'BOQ Summary'!H19</f>
        <v>0</v>
      </c>
      <c r="H26" s="23" t="n">
        <f aca="false">'BOQ Summary'!I19</f>
        <v>0</v>
      </c>
      <c r="I26" s="23" t="n">
        <f aca="false">'BOQ Summary'!J19</f>
        <v>0</v>
      </c>
      <c r="J26" s="23" t="n">
        <f aca="false">'BOQ Summary'!K19</f>
        <v>0</v>
      </c>
      <c r="K26" s="24" t="n">
        <f aca="false">IFERROR(H26/F26,0)</f>
        <v>0</v>
      </c>
      <c r="L26" s="25" t="str">
        <f aca="false">IF(F26=0,"—",IF(I26&lt;=F26,"✔ OK",IF(I26&lt;=F26*1.1,"▲ RISK","✖ OVER")))</f>
        <v>—</v>
      </c>
    </row>
    <row r="27" customFormat="false" ht="15" hidden="false" customHeight="true" outlineLevel="0" collapsed="false">
      <c r="B27" s="16" t="str">
        <f aca="false">'BOQ Summary'!B20</f>
        <v>011</v>
      </c>
      <c r="C27" s="17" t="str">
        <f aca="false">'BOQ Summary'!C20</f>
        <v>FIRST FLOOR FRAMING - TIMBER &amp; HARDWARE</v>
      </c>
      <c r="D27" s="18" t="n">
        <f aca="false">'BOQ Summary'!D20</f>
        <v>0</v>
      </c>
      <c r="E27" s="18" t="n">
        <f aca="false">'BOQ Summary'!F20</f>
        <v>0</v>
      </c>
      <c r="F27" s="18" t="n">
        <f aca="false">'BOQ Summary'!G20</f>
        <v>0</v>
      </c>
      <c r="G27" s="18" t="n">
        <f aca="false">'BOQ Summary'!H20</f>
        <v>0</v>
      </c>
      <c r="H27" s="18" t="n">
        <f aca="false">'BOQ Summary'!I20</f>
        <v>0</v>
      </c>
      <c r="I27" s="18" t="n">
        <f aca="false">'BOQ Summary'!J20</f>
        <v>0</v>
      </c>
      <c r="J27" s="18" t="n">
        <f aca="false">'BOQ Summary'!K20</f>
        <v>0</v>
      </c>
      <c r="K27" s="19" t="n">
        <f aca="false">IFERROR(H27/F27,0)</f>
        <v>0</v>
      </c>
      <c r="L27" s="20" t="str">
        <f aca="false">IF(F27=0,"—",IF(I27&lt;=F27,"✔ OK",IF(I27&lt;=F27*1.1,"▲ RISK","✖ OVER")))</f>
        <v>—</v>
      </c>
    </row>
    <row r="28" customFormat="false" ht="15" hidden="false" customHeight="true" outlineLevel="0" collapsed="false">
      <c r="B28" s="21" t="str">
        <f aca="false">'BOQ Summary'!B21</f>
        <v>012</v>
      </c>
      <c r="C28" s="22" t="str">
        <f aca="false">'BOQ Summary'!C21</f>
        <v>FRAMING - TIMBER &amp; HARDWARE (MISC)</v>
      </c>
      <c r="D28" s="23" t="n">
        <f aca="false">'BOQ Summary'!D21</f>
        <v>0</v>
      </c>
      <c r="E28" s="23" t="n">
        <f aca="false">'BOQ Summary'!F21</f>
        <v>0</v>
      </c>
      <c r="F28" s="23" t="n">
        <f aca="false">'BOQ Summary'!G21</f>
        <v>0</v>
      </c>
      <c r="G28" s="23" t="n">
        <f aca="false">'BOQ Summary'!H21</f>
        <v>0</v>
      </c>
      <c r="H28" s="23" t="n">
        <f aca="false">'BOQ Summary'!I21</f>
        <v>0</v>
      </c>
      <c r="I28" s="23" t="n">
        <f aca="false">'BOQ Summary'!J21</f>
        <v>0</v>
      </c>
      <c r="J28" s="23" t="n">
        <f aca="false">'BOQ Summary'!K21</f>
        <v>0</v>
      </c>
      <c r="K28" s="24" t="n">
        <f aca="false">IFERROR(H28/F28,0)</f>
        <v>0</v>
      </c>
      <c r="L28" s="25" t="str">
        <f aca="false">IF(F28=0,"—",IF(I28&lt;=F28,"✔ OK",IF(I28&lt;=F28*1.1,"▲ RISK","✖ OVER")))</f>
        <v>—</v>
      </c>
    </row>
    <row r="29" customFormat="false" ht="15" hidden="false" customHeight="true" outlineLevel="0" collapsed="false">
      <c r="B29" s="16" t="str">
        <f aca="false">'BOQ Summary'!B22</f>
        <v>013</v>
      </c>
      <c r="C29" s="17" t="str">
        <f aca="false">'BOQ Summary'!C22</f>
        <v>ROOF TRUSSES - TRUSSES, RAFTERS, POSI-TRUSSES</v>
      </c>
      <c r="D29" s="18" t="n">
        <f aca="false">'BOQ Summary'!D22</f>
        <v>0</v>
      </c>
      <c r="E29" s="18" t="n">
        <f aca="false">'BOQ Summary'!F22</f>
        <v>0</v>
      </c>
      <c r="F29" s="18" t="n">
        <f aca="false">'BOQ Summary'!G22</f>
        <v>0</v>
      </c>
      <c r="G29" s="18" t="n">
        <f aca="false">'BOQ Summary'!H22</f>
        <v>0</v>
      </c>
      <c r="H29" s="18" t="n">
        <f aca="false">'BOQ Summary'!I22</f>
        <v>0</v>
      </c>
      <c r="I29" s="18" t="n">
        <f aca="false">'BOQ Summary'!J22</f>
        <v>0</v>
      </c>
      <c r="J29" s="18" t="n">
        <f aca="false">'BOQ Summary'!K22</f>
        <v>0</v>
      </c>
      <c r="K29" s="19" t="n">
        <f aca="false">IFERROR(H29/F29,0)</f>
        <v>0</v>
      </c>
      <c r="L29" s="20" t="str">
        <f aca="false">IF(F29=0,"—",IF(I29&lt;=F29,"✔ OK",IF(I29&lt;=F29*1.1,"▲ RISK","✖ OVER")))</f>
        <v>—</v>
      </c>
    </row>
    <row r="30" customFormat="false" ht="15" hidden="false" customHeight="true" outlineLevel="0" collapsed="false">
      <c r="B30" s="21" t="str">
        <f aca="false">'BOQ Summary'!B23</f>
        <v>014</v>
      </c>
      <c r="C30" s="22" t="str">
        <f aca="false">'BOQ Summary'!C23</f>
        <v>FRAMING - CARPENTRY LABOUR, STRUCTURAL</v>
      </c>
      <c r="D30" s="23" t="n">
        <f aca="false">'BOQ Summary'!D23</f>
        <v>0</v>
      </c>
      <c r="E30" s="23" t="n">
        <f aca="false">'BOQ Summary'!F23</f>
        <v>0</v>
      </c>
      <c r="F30" s="23" t="n">
        <f aca="false">'BOQ Summary'!G23</f>
        <v>0</v>
      </c>
      <c r="G30" s="23" t="n">
        <f aca="false">'BOQ Summary'!H23</f>
        <v>0</v>
      </c>
      <c r="H30" s="23" t="n">
        <f aca="false">'BOQ Summary'!I23</f>
        <v>0</v>
      </c>
      <c r="I30" s="23" t="n">
        <f aca="false">'BOQ Summary'!J23</f>
        <v>0</v>
      </c>
      <c r="J30" s="23" t="n">
        <f aca="false">'BOQ Summary'!K23</f>
        <v>0</v>
      </c>
      <c r="K30" s="24" t="n">
        <f aca="false">IFERROR(H30/F30,0)</f>
        <v>0</v>
      </c>
      <c r="L30" s="25" t="str">
        <f aca="false">IF(F30=0,"—",IF(I30&lt;=F30,"✔ OK",IF(I30&lt;=F30*1.1,"▲ RISK","✖ OVER")))</f>
        <v>—</v>
      </c>
    </row>
    <row r="31" customFormat="false" ht="15" hidden="false" customHeight="true" outlineLevel="0" collapsed="false">
      <c r="B31" s="16" t="str">
        <f aca="false">'BOQ Summary'!B24</f>
        <v>015</v>
      </c>
      <c r="C31" s="17" t="str">
        <f aca="false">'BOQ Summary'!C24</f>
        <v>SHEET-METAL &amp; CUSTOM METAL WORK</v>
      </c>
      <c r="D31" s="18" t="n">
        <f aca="false">'BOQ Summary'!D24</f>
        <v>0</v>
      </c>
      <c r="E31" s="18" t="n">
        <f aca="false">'BOQ Summary'!F24</f>
        <v>0</v>
      </c>
      <c r="F31" s="18" t="n">
        <f aca="false">'BOQ Summary'!G24</f>
        <v>0</v>
      </c>
      <c r="G31" s="18" t="n">
        <f aca="false">'BOQ Summary'!H24</f>
        <v>0</v>
      </c>
      <c r="H31" s="18" t="n">
        <f aca="false">'BOQ Summary'!I24</f>
        <v>0</v>
      </c>
      <c r="I31" s="18" t="n">
        <f aca="false">'BOQ Summary'!J24</f>
        <v>0</v>
      </c>
      <c r="J31" s="18" t="n">
        <f aca="false">'BOQ Summary'!K24</f>
        <v>0</v>
      </c>
      <c r="K31" s="19" t="n">
        <f aca="false">IFERROR(H31/F31,0)</f>
        <v>0</v>
      </c>
      <c r="L31" s="20" t="str">
        <f aca="false">IF(F31=0,"—",IF(I31&lt;=F31,"✔ OK",IF(I31&lt;=F31*1.1,"▲ RISK","✖ OVER")))</f>
        <v>—</v>
      </c>
    </row>
    <row r="32" customFormat="false" ht="15" hidden="false" customHeight="true" outlineLevel="0" collapsed="false">
      <c r="B32" s="21" t="str">
        <f aca="false">'BOQ Summary'!B25</f>
        <v>016</v>
      </c>
      <c r="C32" s="22" t="str">
        <f aca="false">'BOQ Summary'!C25</f>
        <v>WINDOWS &amp; DOORS - INTERNAL</v>
      </c>
      <c r="D32" s="23" t="n">
        <f aca="false">'BOQ Summary'!D25</f>
        <v>0</v>
      </c>
      <c r="E32" s="23" t="n">
        <f aca="false">'BOQ Summary'!F25</f>
        <v>0</v>
      </c>
      <c r="F32" s="23" t="n">
        <f aca="false">'BOQ Summary'!G25</f>
        <v>0</v>
      </c>
      <c r="G32" s="23" t="n">
        <f aca="false">'BOQ Summary'!H25</f>
        <v>0</v>
      </c>
      <c r="H32" s="23" t="n">
        <f aca="false">'BOQ Summary'!I25</f>
        <v>0</v>
      </c>
      <c r="I32" s="23" t="n">
        <f aca="false">'BOQ Summary'!J25</f>
        <v>0</v>
      </c>
      <c r="J32" s="23" t="n">
        <f aca="false">'BOQ Summary'!K25</f>
        <v>0</v>
      </c>
      <c r="K32" s="24" t="n">
        <f aca="false">IFERROR(H32/F32,0)</f>
        <v>0</v>
      </c>
      <c r="L32" s="25" t="str">
        <f aca="false">IF(F32=0,"—",IF(I32&lt;=F32,"✔ OK",IF(I32&lt;=F32*1.1,"▲ RISK","✖ OVER")))</f>
        <v>—</v>
      </c>
    </row>
    <row r="33" customFormat="false" ht="15" hidden="false" customHeight="true" outlineLevel="0" collapsed="false">
      <c r="B33" s="16" t="str">
        <f aca="false">'BOQ Summary'!B26</f>
        <v>017</v>
      </c>
      <c r="C33" s="17" t="str">
        <f aca="false">'BOQ Summary'!C26</f>
        <v>LOCKUP MATERIALS - CLADDING, HARDWARE, FLASHING</v>
      </c>
      <c r="D33" s="18" t="n">
        <f aca="false">'BOQ Summary'!D26</f>
        <v>0</v>
      </c>
      <c r="E33" s="18" t="n">
        <f aca="false">'BOQ Summary'!F26</f>
        <v>0</v>
      </c>
      <c r="F33" s="18" t="n">
        <f aca="false">'BOQ Summary'!G26</f>
        <v>0</v>
      </c>
      <c r="G33" s="18" t="n">
        <f aca="false">'BOQ Summary'!H26</f>
        <v>0</v>
      </c>
      <c r="H33" s="18" t="n">
        <f aca="false">'BOQ Summary'!I26</f>
        <v>0</v>
      </c>
      <c r="I33" s="18" t="n">
        <f aca="false">'BOQ Summary'!J26</f>
        <v>0</v>
      </c>
      <c r="J33" s="18" t="n">
        <f aca="false">'BOQ Summary'!K26</f>
        <v>0</v>
      </c>
      <c r="K33" s="19" t="n">
        <f aca="false">IFERROR(H33/F33,0)</f>
        <v>0</v>
      </c>
      <c r="L33" s="20" t="str">
        <f aca="false">IF(F33=0,"—",IF(I33&lt;=F33,"✔ OK",IF(I33&lt;=F33*1.1,"▲ RISK","✖ OVER")))</f>
        <v>—</v>
      </c>
    </row>
    <row r="34" customFormat="false" ht="15" hidden="false" customHeight="true" outlineLevel="0" collapsed="false">
      <c r="B34" s="21" t="str">
        <f aca="false">'BOQ Summary'!B27</f>
        <v>018</v>
      </c>
      <c r="C34" s="22" t="str">
        <f aca="false">'BOQ Summary'!C27</f>
        <v>LOCKUP CARPENTRY - CLADDING, INT/EXT WORKS</v>
      </c>
      <c r="D34" s="23" t="n">
        <f aca="false">'BOQ Summary'!D27</f>
        <v>0</v>
      </c>
      <c r="E34" s="23" t="n">
        <f aca="false">'BOQ Summary'!F27</f>
        <v>0</v>
      </c>
      <c r="F34" s="23" t="n">
        <f aca="false">'BOQ Summary'!G27</f>
        <v>0</v>
      </c>
      <c r="G34" s="23" t="n">
        <f aca="false">'BOQ Summary'!H27</f>
        <v>0</v>
      </c>
      <c r="H34" s="23" t="n">
        <f aca="false">'BOQ Summary'!I27</f>
        <v>0</v>
      </c>
      <c r="I34" s="23" t="n">
        <f aca="false">'BOQ Summary'!J27</f>
        <v>0</v>
      </c>
      <c r="J34" s="23" t="n">
        <f aca="false">'BOQ Summary'!K27</f>
        <v>0</v>
      </c>
      <c r="K34" s="24" t="n">
        <f aca="false">IFERROR(H34/F34,0)</f>
        <v>0</v>
      </c>
      <c r="L34" s="25" t="str">
        <f aca="false">IF(F34=0,"—",IF(I34&lt;=F34,"✔ OK",IF(I34&lt;=F34*1.1,"▲ RISK","✖ OVER")))</f>
        <v>—</v>
      </c>
    </row>
    <row r="35" customFormat="false" ht="15" hidden="false" customHeight="true" outlineLevel="0" collapsed="false">
      <c r="B35" s="16" t="str">
        <f aca="false">'BOQ Summary'!B28</f>
        <v>019</v>
      </c>
      <c r="C35" s="17" t="str">
        <f aca="false">'BOQ Summary'!C28</f>
        <v>INSULATION - WALL &amp; CEILING INSULATION &amp; BUILDING WRAP</v>
      </c>
      <c r="D35" s="18" t="n">
        <f aca="false">'BOQ Summary'!D28</f>
        <v>0</v>
      </c>
      <c r="E35" s="18" t="n">
        <f aca="false">'BOQ Summary'!F28</f>
        <v>0</v>
      </c>
      <c r="F35" s="18" t="n">
        <f aca="false">'BOQ Summary'!G28</f>
        <v>0</v>
      </c>
      <c r="G35" s="18" t="n">
        <f aca="false">'BOQ Summary'!H28</f>
        <v>0</v>
      </c>
      <c r="H35" s="18" t="n">
        <f aca="false">'BOQ Summary'!I28</f>
        <v>0</v>
      </c>
      <c r="I35" s="18" t="n">
        <f aca="false">'BOQ Summary'!J28</f>
        <v>0</v>
      </c>
      <c r="J35" s="18" t="n">
        <f aca="false">'BOQ Summary'!K28</f>
        <v>0</v>
      </c>
      <c r="K35" s="19" t="n">
        <f aca="false">IFERROR(H35/F35,0)</f>
        <v>0</v>
      </c>
      <c r="L35" s="20" t="str">
        <f aca="false">IF(F35=0,"—",IF(I35&lt;=F35,"✔ OK",IF(I35&lt;=F35*1.1,"▲ RISK","✖ OVER")))</f>
        <v>—</v>
      </c>
    </row>
    <row r="36" customFormat="false" ht="15" hidden="false" customHeight="true" outlineLevel="0" collapsed="false">
      <c r="B36" s="21" t="str">
        <f aca="false">'BOQ Summary'!B29</f>
        <v>020</v>
      </c>
      <c r="C36" s="22" t="str">
        <f aca="false">'BOQ Summary'!C29</f>
        <v>ELECTRICAL - LABOUR &amp; MATERIALS (LIGHT FITTINGS SEPARATE)</v>
      </c>
      <c r="D36" s="23" t="n">
        <f aca="false">'BOQ Summary'!D29</f>
        <v>0</v>
      </c>
      <c r="E36" s="23" t="n">
        <f aca="false">'BOQ Summary'!F29</f>
        <v>0</v>
      </c>
      <c r="F36" s="23" t="n">
        <f aca="false">'BOQ Summary'!G29</f>
        <v>0</v>
      </c>
      <c r="G36" s="23" t="n">
        <f aca="false">'BOQ Summary'!H29</f>
        <v>0</v>
      </c>
      <c r="H36" s="23" t="n">
        <f aca="false">'BOQ Summary'!I29</f>
        <v>0</v>
      </c>
      <c r="I36" s="23" t="n">
        <f aca="false">'BOQ Summary'!J29</f>
        <v>0</v>
      </c>
      <c r="J36" s="23" t="n">
        <f aca="false">'BOQ Summary'!K29</f>
        <v>0</v>
      </c>
      <c r="K36" s="24" t="n">
        <f aca="false">IFERROR(H36/F36,0)</f>
        <v>0</v>
      </c>
      <c r="L36" s="25" t="str">
        <f aca="false">IF(F36=0,"—",IF(I36&lt;=F36,"✔ OK",IF(I36&lt;=F36*1.1,"▲ RISK","✖ OVER")))</f>
        <v>—</v>
      </c>
    </row>
    <row r="37" customFormat="false" ht="15" hidden="false" customHeight="true" outlineLevel="0" collapsed="false">
      <c r="B37" s="16" t="str">
        <f aca="false">'BOQ Summary'!B30</f>
        <v>021</v>
      </c>
      <c r="C37" s="17" t="str">
        <f aca="false">'BOQ Summary'!C30</f>
        <v>HYDRAULIC PLUMBING - GENERAL</v>
      </c>
      <c r="D37" s="18" t="n">
        <f aca="false">'BOQ Summary'!D30</f>
        <v>0</v>
      </c>
      <c r="E37" s="18" t="n">
        <f aca="false">'BOQ Summary'!F30</f>
        <v>0</v>
      </c>
      <c r="F37" s="18" t="n">
        <f aca="false">'BOQ Summary'!G30</f>
        <v>0</v>
      </c>
      <c r="G37" s="18" t="n">
        <f aca="false">'BOQ Summary'!H30</f>
        <v>0</v>
      </c>
      <c r="H37" s="18" t="n">
        <f aca="false">'BOQ Summary'!I30</f>
        <v>0</v>
      </c>
      <c r="I37" s="18" t="n">
        <f aca="false">'BOQ Summary'!J30</f>
        <v>0</v>
      </c>
      <c r="J37" s="18" t="n">
        <f aca="false">'BOQ Summary'!K30</f>
        <v>0</v>
      </c>
      <c r="K37" s="19" t="n">
        <f aca="false">IFERROR(H37/F37,0)</f>
        <v>0</v>
      </c>
      <c r="L37" s="20" t="str">
        <f aca="false">IF(F37=0,"—",IF(I37&lt;=F37,"✔ OK",IF(I37&lt;=F37*1.1,"▲ RISK","✖ OVER")))</f>
        <v>—</v>
      </c>
    </row>
    <row r="38" customFormat="false" ht="15" hidden="false" customHeight="true" outlineLevel="0" collapsed="false">
      <c r="B38" s="21" t="str">
        <f aca="false">'BOQ Summary'!B31</f>
        <v>022</v>
      </c>
      <c r="C38" s="22" t="str">
        <f aca="false">'BOQ Summary'!C31</f>
        <v>HYDRAULIC PLUMBING ITEMS - HWS, SPECIALTY ITEMS</v>
      </c>
      <c r="D38" s="23" t="n">
        <f aca="false">'BOQ Summary'!D31</f>
        <v>0</v>
      </c>
      <c r="E38" s="23" t="n">
        <f aca="false">'BOQ Summary'!F31</f>
        <v>0</v>
      </c>
      <c r="F38" s="23" t="n">
        <f aca="false">'BOQ Summary'!G31</f>
        <v>0</v>
      </c>
      <c r="G38" s="23" t="n">
        <f aca="false">'BOQ Summary'!H31</f>
        <v>0</v>
      </c>
      <c r="H38" s="23" t="n">
        <f aca="false">'BOQ Summary'!I31</f>
        <v>0</v>
      </c>
      <c r="I38" s="23" t="n">
        <f aca="false">'BOQ Summary'!J31</f>
        <v>0</v>
      </c>
      <c r="J38" s="23" t="n">
        <f aca="false">'BOQ Summary'!K31</f>
        <v>0</v>
      </c>
      <c r="K38" s="24" t="n">
        <f aca="false">IFERROR(H38/F38,0)</f>
        <v>0</v>
      </c>
      <c r="L38" s="25" t="str">
        <f aca="false">IF(F38=0,"—",IF(I38&lt;=F38,"✔ OK",IF(I38&lt;=F38*1.1,"▲ RISK","✖ OVER")))</f>
        <v>—</v>
      </c>
    </row>
    <row r="39" customFormat="false" ht="15" hidden="false" customHeight="true" outlineLevel="0" collapsed="false">
      <c r="B39" s="16" t="str">
        <f aca="false">'BOQ Summary'!B32</f>
        <v>023</v>
      </c>
      <c r="C39" s="17" t="str">
        <f aca="false">'BOQ Summary'!C32</f>
        <v>MECHANICAL PLUMBING AND HVAC</v>
      </c>
      <c r="D39" s="18" t="n">
        <f aca="false">'BOQ Summary'!D32</f>
        <v>0</v>
      </c>
      <c r="E39" s="18" t="n">
        <f aca="false">'BOQ Summary'!F32</f>
        <v>0</v>
      </c>
      <c r="F39" s="18" t="n">
        <f aca="false">'BOQ Summary'!G32</f>
        <v>0</v>
      </c>
      <c r="G39" s="18" t="n">
        <f aca="false">'BOQ Summary'!H32</f>
        <v>0</v>
      </c>
      <c r="H39" s="18" t="n">
        <f aca="false">'BOQ Summary'!I32</f>
        <v>0</v>
      </c>
      <c r="I39" s="18" t="n">
        <f aca="false">'BOQ Summary'!J32</f>
        <v>0</v>
      </c>
      <c r="J39" s="18" t="n">
        <f aca="false">'BOQ Summary'!K32</f>
        <v>0</v>
      </c>
      <c r="K39" s="19" t="n">
        <f aca="false">IFERROR(H39/F39,0)</f>
        <v>0</v>
      </c>
      <c r="L39" s="20" t="str">
        <f aca="false">IF(F39=0,"—",IF(I39&lt;=F39,"✔ OK",IF(I39&lt;=F39*1.1,"▲ RISK","✖ OVER")))</f>
        <v>—</v>
      </c>
    </row>
    <row r="40" customFormat="false" ht="15" hidden="false" customHeight="true" outlineLevel="0" collapsed="false">
      <c r="B40" s="21" t="str">
        <f aca="false">'BOQ Summary'!B33</f>
        <v>024</v>
      </c>
      <c r="C40" s="22" t="str">
        <f aca="false">'BOQ Summary'!C33</f>
        <v>DECKING - FRAMING &amp; HARDWARE</v>
      </c>
      <c r="D40" s="23" t="n">
        <f aca="false">'BOQ Summary'!D33</f>
        <v>0</v>
      </c>
      <c r="E40" s="23" t="n">
        <f aca="false">'BOQ Summary'!F33</f>
        <v>0</v>
      </c>
      <c r="F40" s="23" t="n">
        <f aca="false">'BOQ Summary'!G33</f>
        <v>0</v>
      </c>
      <c r="G40" s="23" t="n">
        <f aca="false">'BOQ Summary'!H33</f>
        <v>0</v>
      </c>
      <c r="H40" s="23" t="n">
        <f aca="false">'BOQ Summary'!I33</f>
        <v>0</v>
      </c>
      <c r="I40" s="23" t="n">
        <f aca="false">'BOQ Summary'!J33</f>
        <v>0</v>
      </c>
      <c r="J40" s="23" t="n">
        <f aca="false">'BOQ Summary'!K33</f>
        <v>0</v>
      </c>
      <c r="K40" s="24" t="n">
        <f aca="false">IFERROR(H40/F40,0)</f>
        <v>0</v>
      </c>
      <c r="L40" s="25" t="str">
        <f aca="false">IF(F40=0,"—",IF(I40&lt;=F40,"✔ OK",IF(I40&lt;=F40*1.1,"▲ RISK","✖ OVER")))</f>
        <v>—</v>
      </c>
    </row>
    <row r="41" customFormat="false" ht="15" hidden="false" customHeight="true" outlineLevel="0" collapsed="false">
      <c r="B41" s="16" t="str">
        <f aca="false">'BOQ Summary'!B34</f>
        <v>025</v>
      </c>
      <c r="C41" s="17" t="str">
        <f aca="false">'BOQ Summary'!C34</f>
        <v>DECKING AND SUB-FLOOR FRAMING MATERIALS</v>
      </c>
      <c r="D41" s="18" t="n">
        <f aca="false">'BOQ Summary'!D34</f>
        <v>0</v>
      </c>
      <c r="E41" s="18" t="n">
        <f aca="false">'BOQ Summary'!F34</f>
        <v>0</v>
      </c>
      <c r="F41" s="18" t="n">
        <f aca="false">'BOQ Summary'!G34</f>
        <v>0</v>
      </c>
      <c r="G41" s="18" t="n">
        <f aca="false">'BOQ Summary'!H34</f>
        <v>0</v>
      </c>
      <c r="H41" s="18" t="n">
        <f aca="false">'BOQ Summary'!I34</f>
        <v>0</v>
      </c>
      <c r="I41" s="18" t="n">
        <f aca="false">'BOQ Summary'!J34</f>
        <v>0</v>
      </c>
      <c r="J41" s="18" t="n">
        <f aca="false">'BOQ Summary'!K34</f>
        <v>0</v>
      </c>
      <c r="K41" s="19" t="n">
        <f aca="false">IFERROR(H41/F41,0)</f>
        <v>0</v>
      </c>
      <c r="L41" s="20" t="str">
        <f aca="false">IF(F41=0,"—",IF(I41&lt;=F41,"✔ OK",IF(I41&lt;=F41*1.1,"▲ RISK","✖ OVER")))</f>
        <v>—</v>
      </c>
    </row>
    <row r="42" customFormat="false" ht="15" hidden="false" customHeight="true" outlineLevel="0" collapsed="false">
      <c r="B42" s="21" t="str">
        <f aca="false">'BOQ Summary'!B35</f>
        <v>026</v>
      </c>
      <c r="C42" s="22" t="str">
        <f aca="false">'BOQ Summary'!C35</f>
        <v>INTERNAL WALL &amp; CEILING LINING - GYROCK, PLYWOOD, OTHER</v>
      </c>
      <c r="D42" s="23" t="n">
        <f aca="false">'BOQ Summary'!D35</f>
        <v>0</v>
      </c>
      <c r="E42" s="23" t="n">
        <f aca="false">'BOQ Summary'!F35</f>
        <v>0</v>
      </c>
      <c r="F42" s="23" t="n">
        <f aca="false">'BOQ Summary'!G35</f>
        <v>0</v>
      </c>
      <c r="G42" s="23" t="n">
        <f aca="false">'BOQ Summary'!H35</f>
        <v>0</v>
      </c>
      <c r="H42" s="23" t="n">
        <f aca="false">'BOQ Summary'!I35</f>
        <v>0</v>
      </c>
      <c r="I42" s="23" t="n">
        <f aca="false">'BOQ Summary'!J35</f>
        <v>0</v>
      </c>
      <c r="J42" s="23" t="n">
        <f aca="false">'BOQ Summary'!K35</f>
        <v>0</v>
      </c>
      <c r="K42" s="24" t="n">
        <f aca="false">IFERROR(H42/F42,0)</f>
        <v>0</v>
      </c>
      <c r="L42" s="25" t="str">
        <f aca="false">IF(F42=0,"—",IF(I42&lt;=F42,"✔ OK",IF(I42&lt;=F42*1.1,"▲ RISK","✖ OVER")))</f>
        <v>—</v>
      </c>
    </row>
    <row r="43" customFormat="false" ht="15" hidden="false" customHeight="true" outlineLevel="0" collapsed="false">
      <c r="B43" s="16" t="str">
        <f aca="false">'BOQ Summary'!B36</f>
        <v>027</v>
      </c>
      <c r="C43" s="17" t="str">
        <f aca="false">'BOQ Summary'!C36</f>
        <v>JOINERY - KITCHEN, BATHROOM, LAUNDRY</v>
      </c>
      <c r="D43" s="18" t="n">
        <f aca="false">'BOQ Summary'!D36</f>
        <v>0</v>
      </c>
      <c r="E43" s="18" t="n">
        <f aca="false">'BOQ Summary'!F36</f>
        <v>0</v>
      </c>
      <c r="F43" s="18" t="n">
        <f aca="false">'BOQ Summary'!G36</f>
        <v>0</v>
      </c>
      <c r="G43" s="18" t="n">
        <f aca="false">'BOQ Summary'!H36</f>
        <v>0</v>
      </c>
      <c r="H43" s="18" t="n">
        <f aca="false">'BOQ Summary'!I36</f>
        <v>0</v>
      </c>
      <c r="I43" s="18" t="n">
        <f aca="false">'BOQ Summary'!J36</f>
        <v>0</v>
      </c>
      <c r="J43" s="18" t="n">
        <f aca="false">'BOQ Summary'!K36</f>
        <v>0</v>
      </c>
      <c r="K43" s="19" t="n">
        <f aca="false">IFERROR(H43/F43,0)</f>
        <v>0</v>
      </c>
      <c r="L43" s="20" t="str">
        <f aca="false">IF(F43=0,"—",IF(I43&lt;=F43,"✔ OK",IF(I43&lt;=F43*1.1,"▲ RISK","✖ OVER")))</f>
        <v>—</v>
      </c>
    </row>
    <row r="44" customFormat="false" ht="15" hidden="false" customHeight="true" outlineLevel="0" collapsed="false">
      <c r="B44" s="21" t="str">
        <f aca="false">'BOQ Summary'!B37</f>
        <v>028</v>
      </c>
      <c r="C44" s="22" t="str">
        <f aca="false">'BOQ Summary'!C37</f>
        <v>FINISH CARPENTRY - INTERNAL FINISHING AND DETAIL WORKS</v>
      </c>
      <c r="D44" s="23" t="n">
        <f aca="false">'BOQ Summary'!D37</f>
        <v>0</v>
      </c>
      <c r="E44" s="23" t="n">
        <f aca="false">'BOQ Summary'!F37</f>
        <v>0</v>
      </c>
      <c r="F44" s="23" t="n">
        <f aca="false">'BOQ Summary'!G37</f>
        <v>0</v>
      </c>
      <c r="G44" s="23" t="n">
        <f aca="false">'BOQ Summary'!H37</f>
        <v>0</v>
      </c>
      <c r="H44" s="23" t="n">
        <f aca="false">'BOQ Summary'!I37</f>
        <v>0</v>
      </c>
      <c r="I44" s="23" t="n">
        <f aca="false">'BOQ Summary'!J37</f>
        <v>0</v>
      </c>
      <c r="J44" s="23" t="n">
        <f aca="false">'BOQ Summary'!K37</f>
        <v>0</v>
      </c>
      <c r="K44" s="24" t="n">
        <f aca="false">IFERROR(H44/F44,0)</f>
        <v>0</v>
      </c>
      <c r="L44" s="25" t="str">
        <f aca="false">IF(F44=0,"—",IF(I44&lt;=F44,"✔ OK",IF(I44&lt;=F44*1.1,"▲ RISK","✖ OVER")))</f>
        <v>—</v>
      </c>
    </row>
    <row r="45" customFormat="false" ht="15" hidden="false" customHeight="true" outlineLevel="0" collapsed="false">
      <c r="B45" s="16" t="str">
        <f aca="false">'BOQ Summary'!B38</f>
        <v>029</v>
      </c>
      <c r="C45" s="17" t="str">
        <f aca="false">'BOQ Summary'!C38</f>
        <v>WATERPROOFING &amp; SCREED BEDS</v>
      </c>
      <c r="D45" s="18" t="n">
        <f aca="false">'BOQ Summary'!D38</f>
        <v>0</v>
      </c>
      <c r="E45" s="18" t="n">
        <f aca="false">'BOQ Summary'!F38</f>
        <v>0</v>
      </c>
      <c r="F45" s="18" t="n">
        <f aca="false">'BOQ Summary'!G38</f>
        <v>0</v>
      </c>
      <c r="G45" s="18" t="n">
        <f aca="false">'BOQ Summary'!H38</f>
        <v>0</v>
      </c>
      <c r="H45" s="18" t="n">
        <f aca="false">'BOQ Summary'!I38</f>
        <v>0</v>
      </c>
      <c r="I45" s="18" t="n">
        <f aca="false">'BOQ Summary'!J38</f>
        <v>0</v>
      </c>
      <c r="J45" s="18" t="n">
        <f aca="false">'BOQ Summary'!K38</f>
        <v>0</v>
      </c>
      <c r="K45" s="19" t="n">
        <f aca="false">IFERROR(H45/F45,0)</f>
        <v>0</v>
      </c>
      <c r="L45" s="20" t="str">
        <f aca="false">IF(F45=0,"—",IF(I45&lt;=F45,"✔ OK",IF(I45&lt;=F45*1.1,"▲ RISK","✖ OVER")))</f>
        <v>—</v>
      </c>
    </row>
    <row r="46" customFormat="false" ht="15" hidden="false" customHeight="true" outlineLevel="0" collapsed="false">
      <c r="B46" s="21" t="str">
        <f aca="false">'BOQ Summary'!B39</f>
        <v>030</v>
      </c>
      <c r="C46" s="22" t="str">
        <f aca="false">'BOQ Summary'!C39</f>
        <v>TILE SUPPLY ALLOWANCE</v>
      </c>
      <c r="D46" s="23" t="n">
        <f aca="false">'BOQ Summary'!D39</f>
        <v>0</v>
      </c>
      <c r="E46" s="23" t="n">
        <f aca="false">'BOQ Summary'!F39</f>
        <v>0</v>
      </c>
      <c r="F46" s="23" t="n">
        <f aca="false">'BOQ Summary'!G39</f>
        <v>0</v>
      </c>
      <c r="G46" s="23" t="n">
        <f aca="false">'BOQ Summary'!H39</f>
        <v>0</v>
      </c>
      <c r="H46" s="23" t="n">
        <f aca="false">'BOQ Summary'!I39</f>
        <v>0</v>
      </c>
      <c r="I46" s="23" t="n">
        <f aca="false">'BOQ Summary'!J39</f>
        <v>0</v>
      </c>
      <c r="J46" s="23" t="n">
        <f aca="false">'BOQ Summary'!K39</f>
        <v>0</v>
      </c>
      <c r="K46" s="24" t="n">
        <f aca="false">IFERROR(H46/F46,0)</f>
        <v>0</v>
      </c>
      <c r="L46" s="25" t="str">
        <f aca="false">IF(F46=0,"—",IF(I46&lt;=F46,"✔ OK",IF(I46&lt;=F46*1.1,"▲ RISK","✖ OVER")))</f>
        <v>—</v>
      </c>
    </row>
    <row r="47" customFormat="false" ht="15" hidden="false" customHeight="true" outlineLevel="0" collapsed="false">
      <c r="B47" s="16" t="str">
        <f aca="false">'BOQ Summary'!B40</f>
        <v>031</v>
      </c>
      <c r="C47" s="17" t="str">
        <f aca="false">'BOQ Summary'!C40</f>
        <v>TILING LABOUR</v>
      </c>
      <c r="D47" s="18" t="n">
        <f aca="false">'BOQ Summary'!D40</f>
        <v>0</v>
      </c>
      <c r="E47" s="18" t="n">
        <f aca="false">'BOQ Summary'!F40</f>
        <v>0</v>
      </c>
      <c r="F47" s="18" t="n">
        <f aca="false">'BOQ Summary'!G40</f>
        <v>0</v>
      </c>
      <c r="G47" s="18" t="n">
        <f aca="false">'BOQ Summary'!H40</f>
        <v>0</v>
      </c>
      <c r="H47" s="18" t="n">
        <f aca="false">'BOQ Summary'!I40</f>
        <v>0</v>
      </c>
      <c r="I47" s="18" t="n">
        <f aca="false">'BOQ Summary'!J40</f>
        <v>0</v>
      </c>
      <c r="J47" s="18" t="n">
        <f aca="false">'BOQ Summary'!K40</f>
        <v>0</v>
      </c>
      <c r="K47" s="19" t="n">
        <f aca="false">IFERROR(H47/F47,0)</f>
        <v>0</v>
      </c>
      <c r="L47" s="20" t="str">
        <f aca="false">IF(F47=0,"—",IF(I47&lt;=F47,"✔ OK",IF(I47&lt;=F47*1.1,"▲ RISK","✖ OVER")))</f>
        <v>—</v>
      </c>
    </row>
    <row r="48" customFormat="false" ht="15" hidden="false" customHeight="true" outlineLevel="0" collapsed="false">
      <c r="B48" s="21" t="str">
        <f aca="false">'BOQ Summary'!B41</f>
        <v>032</v>
      </c>
      <c r="C48" s="22" t="str">
        <f aca="false">'BOQ Summary'!C41</f>
        <v>TIMBER FLOORING - SUPPLY &amp; INSTALLATION</v>
      </c>
      <c r="D48" s="23" t="n">
        <f aca="false">'BOQ Summary'!D41</f>
        <v>0</v>
      </c>
      <c r="E48" s="23" t="n">
        <f aca="false">'BOQ Summary'!F41</f>
        <v>0</v>
      </c>
      <c r="F48" s="23" t="n">
        <f aca="false">'BOQ Summary'!G41</f>
        <v>0</v>
      </c>
      <c r="G48" s="23" t="n">
        <f aca="false">'BOQ Summary'!H41</f>
        <v>0</v>
      </c>
      <c r="H48" s="23" t="n">
        <f aca="false">'BOQ Summary'!I41</f>
        <v>0</v>
      </c>
      <c r="I48" s="23" t="n">
        <f aca="false">'BOQ Summary'!J41</f>
        <v>0</v>
      </c>
      <c r="J48" s="23" t="n">
        <f aca="false">'BOQ Summary'!K41</f>
        <v>0</v>
      </c>
      <c r="K48" s="24" t="n">
        <f aca="false">IFERROR(H48/F48,0)</f>
        <v>0</v>
      </c>
      <c r="L48" s="25" t="str">
        <f aca="false">IF(F48=0,"—",IF(I48&lt;=F48,"✔ OK",IF(I48&lt;=F48*1.1,"▲ RISK","✖ OVER")))</f>
        <v>—</v>
      </c>
    </row>
    <row r="49" customFormat="false" ht="15" hidden="false" customHeight="true" outlineLevel="0" collapsed="false">
      <c r="B49" s="16" t="str">
        <f aca="false">'BOQ Summary'!B42</f>
        <v>033</v>
      </c>
      <c r="C49" s="17" t="str">
        <f aca="false">'BOQ Summary'!C42</f>
        <v>FLOOR FINISHING - SANDING &amp; POLISHING</v>
      </c>
      <c r="D49" s="18" t="n">
        <f aca="false">'BOQ Summary'!D42</f>
        <v>0</v>
      </c>
      <c r="E49" s="18" t="n">
        <f aca="false">'BOQ Summary'!F42</f>
        <v>0</v>
      </c>
      <c r="F49" s="18" t="n">
        <f aca="false">'BOQ Summary'!G42</f>
        <v>0</v>
      </c>
      <c r="G49" s="18" t="n">
        <f aca="false">'BOQ Summary'!H42</f>
        <v>0</v>
      </c>
      <c r="H49" s="18" t="n">
        <f aca="false">'BOQ Summary'!I42</f>
        <v>0</v>
      </c>
      <c r="I49" s="18" t="n">
        <f aca="false">'BOQ Summary'!J42</f>
        <v>0</v>
      </c>
      <c r="J49" s="18" t="n">
        <f aca="false">'BOQ Summary'!K42</f>
        <v>0</v>
      </c>
      <c r="K49" s="19" t="n">
        <f aca="false">IFERROR(H49/F49,0)</f>
        <v>0</v>
      </c>
      <c r="L49" s="20" t="str">
        <f aca="false">IF(F49=0,"—",IF(I49&lt;=F49,"✔ OK",IF(I49&lt;=F49*1.1,"▲ RISK","✖ OVER")))</f>
        <v>—</v>
      </c>
    </row>
    <row r="50" customFormat="false" ht="15" hidden="false" customHeight="true" outlineLevel="0" collapsed="false">
      <c r="B50" s="21" t="str">
        <f aca="false">'BOQ Summary'!B43</f>
        <v>034</v>
      </c>
      <c r="C50" s="22" t="str">
        <f aca="false">'BOQ Summary'!C43</f>
        <v>PAINTING - INTERNAL &amp; EXTERNAL</v>
      </c>
      <c r="D50" s="23" t="n">
        <f aca="false">'BOQ Summary'!D43</f>
        <v>0</v>
      </c>
      <c r="E50" s="23" t="n">
        <f aca="false">'BOQ Summary'!F43</f>
        <v>0</v>
      </c>
      <c r="F50" s="23" t="n">
        <f aca="false">'BOQ Summary'!G43</f>
        <v>0</v>
      </c>
      <c r="G50" s="23" t="n">
        <f aca="false">'BOQ Summary'!H43</f>
        <v>0</v>
      </c>
      <c r="H50" s="23" t="n">
        <f aca="false">'BOQ Summary'!I43</f>
        <v>0</v>
      </c>
      <c r="I50" s="23" t="n">
        <f aca="false">'BOQ Summary'!J43</f>
        <v>0</v>
      </c>
      <c r="J50" s="23" t="n">
        <f aca="false">'BOQ Summary'!K43</f>
        <v>0</v>
      </c>
      <c r="K50" s="24" t="n">
        <f aca="false">IFERROR(H50/F50,0)</f>
        <v>0</v>
      </c>
      <c r="L50" s="25" t="str">
        <f aca="false">IF(F50=0,"—",IF(I50&lt;=F50,"✔ OK",IF(I50&lt;=F50*1.1,"▲ RISK","✖ OVER")))</f>
        <v>—</v>
      </c>
    </row>
    <row r="51" customFormat="false" ht="15" hidden="false" customHeight="true" outlineLevel="0" collapsed="false">
      <c r="B51" s="16" t="str">
        <f aca="false">'BOQ Summary'!B44</f>
        <v>035</v>
      </c>
      <c r="C51" s="17" t="str">
        <f aca="false">'BOQ Summary'!C44</f>
        <v>RENDER AND MICRO-CEMENT - INTERNAL &amp; EXTERNAL</v>
      </c>
      <c r="D51" s="18" t="n">
        <f aca="false">'BOQ Summary'!D44</f>
        <v>0</v>
      </c>
      <c r="E51" s="18" t="n">
        <f aca="false">'BOQ Summary'!F44</f>
        <v>0</v>
      </c>
      <c r="F51" s="18" t="n">
        <f aca="false">'BOQ Summary'!G44</f>
        <v>0</v>
      </c>
      <c r="G51" s="18" t="n">
        <f aca="false">'BOQ Summary'!H44</f>
        <v>0</v>
      </c>
      <c r="H51" s="18" t="n">
        <f aca="false">'BOQ Summary'!I44</f>
        <v>0</v>
      </c>
      <c r="I51" s="18" t="n">
        <f aca="false">'BOQ Summary'!J44</f>
        <v>0</v>
      </c>
      <c r="J51" s="18" t="n">
        <f aca="false">'BOQ Summary'!K44</f>
        <v>0</v>
      </c>
      <c r="K51" s="19" t="n">
        <f aca="false">IFERROR(H51/F51,0)</f>
        <v>0</v>
      </c>
      <c r="L51" s="20" t="str">
        <f aca="false">IF(F51=0,"—",IF(I51&lt;=F51,"✔ OK",IF(I51&lt;=F51*1.1,"▲ RISK","✖ OVER")))</f>
        <v>—</v>
      </c>
    </row>
    <row r="52" customFormat="false" ht="15" hidden="false" customHeight="true" outlineLevel="0" collapsed="false">
      <c r="B52" s="21" t="str">
        <f aca="false">'BOQ Summary'!B45</f>
        <v>036</v>
      </c>
      <c r="C52" s="22" t="str">
        <f aca="false">'BOQ Summary'!C45</f>
        <v>PLUMBING - INTERNAL FIXTURES</v>
      </c>
      <c r="D52" s="23" t="n">
        <f aca="false">'BOQ Summary'!D45</f>
        <v>0</v>
      </c>
      <c r="E52" s="23" t="n">
        <f aca="false">'BOQ Summary'!F45</f>
        <v>0</v>
      </c>
      <c r="F52" s="23" t="n">
        <f aca="false">'BOQ Summary'!G45</f>
        <v>0</v>
      </c>
      <c r="G52" s="23" t="n">
        <f aca="false">'BOQ Summary'!H45</f>
        <v>0</v>
      </c>
      <c r="H52" s="23" t="n">
        <f aca="false">'BOQ Summary'!I45</f>
        <v>0</v>
      </c>
      <c r="I52" s="23" t="n">
        <f aca="false">'BOQ Summary'!J45</f>
        <v>0</v>
      </c>
      <c r="J52" s="23" t="n">
        <f aca="false">'BOQ Summary'!K45</f>
        <v>0</v>
      </c>
      <c r="K52" s="24" t="n">
        <f aca="false">IFERROR(H52/F52,0)</f>
        <v>0</v>
      </c>
      <c r="L52" s="25" t="str">
        <f aca="false">IF(F52=0,"—",IF(I52&lt;=F52,"✔ OK",IF(I52&lt;=F52*1.1,"▲ RISK","✖ OVER")))</f>
        <v>—</v>
      </c>
    </row>
    <row r="53" customFormat="false" ht="15" hidden="false" customHeight="true" outlineLevel="0" collapsed="false">
      <c r="B53" s="16" t="str">
        <f aca="false">'BOQ Summary'!B46</f>
        <v>037</v>
      </c>
      <c r="C53" s="17" t="str">
        <f aca="false">'BOQ Summary'!C46</f>
        <v>ELECTRICAL - LIGHT FITTINGS</v>
      </c>
      <c r="D53" s="18" t="n">
        <f aca="false">'BOQ Summary'!D46</f>
        <v>0</v>
      </c>
      <c r="E53" s="18" t="n">
        <f aca="false">'BOQ Summary'!F46</f>
        <v>0</v>
      </c>
      <c r="F53" s="18" t="n">
        <f aca="false">'BOQ Summary'!G46</f>
        <v>0</v>
      </c>
      <c r="G53" s="18" t="n">
        <f aca="false">'BOQ Summary'!H46</f>
        <v>0</v>
      </c>
      <c r="H53" s="18" t="n">
        <f aca="false">'BOQ Summary'!I46</f>
        <v>0</v>
      </c>
      <c r="I53" s="18" t="n">
        <f aca="false">'BOQ Summary'!J46</f>
        <v>0</v>
      </c>
      <c r="J53" s="18" t="n">
        <f aca="false">'BOQ Summary'!K46</f>
        <v>0</v>
      </c>
      <c r="K53" s="19" t="n">
        <f aca="false">IFERROR(H53/F53,0)</f>
        <v>0</v>
      </c>
      <c r="L53" s="20" t="str">
        <f aca="false">IF(F53=0,"—",IF(I53&lt;=F53,"✔ OK",IF(I53&lt;=F53*1.1,"▲ RISK","✖ OVER")))</f>
        <v>—</v>
      </c>
    </row>
    <row r="54" customFormat="false" ht="15" hidden="false" customHeight="true" outlineLevel="0" collapsed="false">
      <c r="B54" s="21" t="str">
        <f aca="false">'BOQ Summary'!B47</f>
        <v>038</v>
      </c>
      <c r="C54" s="22" t="str">
        <f aca="false">'BOQ Summary'!C47</f>
        <v>LANDSCAPING &amp; CIVIL - HARDSCAPING, RETAINING WALLS, DRIVEWAYS</v>
      </c>
      <c r="D54" s="23" t="n">
        <f aca="false">'BOQ Summary'!D47</f>
        <v>0</v>
      </c>
      <c r="E54" s="23" t="n">
        <f aca="false">'BOQ Summary'!F47</f>
        <v>0</v>
      </c>
      <c r="F54" s="23" t="n">
        <f aca="false">'BOQ Summary'!G47</f>
        <v>0</v>
      </c>
      <c r="G54" s="23" t="n">
        <f aca="false">'BOQ Summary'!H47</f>
        <v>0</v>
      </c>
      <c r="H54" s="23" t="n">
        <f aca="false">'BOQ Summary'!I47</f>
        <v>0</v>
      </c>
      <c r="I54" s="23" t="n">
        <f aca="false">'BOQ Summary'!J47</f>
        <v>0</v>
      </c>
      <c r="J54" s="23" t="n">
        <f aca="false">'BOQ Summary'!K47</f>
        <v>0</v>
      </c>
      <c r="K54" s="24" t="n">
        <f aca="false">IFERROR(H54/F54,0)</f>
        <v>0</v>
      </c>
      <c r="L54" s="25" t="str">
        <f aca="false">IF(F54=0,"—",IF(I54&lt;=F54,"✔ OK",IF(I54&lt;=F54*1.1,"▲ RISK","✖ OVER")))</f>
        <v>—</v>
      </c>
    </row>
    <row r="55" customFormat="false" ht="15" hidden="false" customHeight="true" outlineLevel="0" collapsed="false">
      <c r="B55" s="16" t="str">
        <f aca="false">'BOQ Summary'!B48</f>
        <v>039</v>
      </c>
      <c r="C55" s="17" t="str">
        <f aca="false">'BOQ Summary'!C48</f>
        <v>LANDSCAPING - SOFTSCAPING, PLANTS, MULCH, TURF</v>
      </c>
      <c r="D55" s="18" t="n">
        <f aca="false">'BOQ Summary'!D48</f>
        <v>0</v>
      </c>
      <c r="E55" s="18" t="n">
        <f aca="false">'BOQ Summary'!F48</f>
        <v>0</v>
      </c>
      <c r="F55" s="18" t="n">
        <f aca="false">'BOQ Summary'!G48</f>
        <v>0</v>
      </c>
      <c r="G55" s="18" t="n">
        <f aca="false">'BOQ Summary'!H48</f>
        <v>0</v>
      </c>
      <c r="H55" s="18" t="n">
        <f aca="false">'BOQ Summary'!I48</f>
        <v>0</v>
      </c>
      <c r="I55" s="18" t="n">
        <f aca="false">'BOQ Summary'!J48</f>
        <v>0</v>
      </c>
      <c r="J55" s="18" t="n">
        <f aca="false">'BOQ Summary'!K48</f>
        <v>0</v>
      </c>
      <c r="K55" s="19" t="n">
        <f aca="false">IFERROR(H55/F55,0)</f>
        <v>0</v>
      </c>
      <c r="L55" s="20" t="str">
        <f aca="false">IF(F55=0,"—",IF(I55&lt;=F55,"✔ OK",IF(I55&lt;=F55*1.1,"▲ RISK","✖ OVER")))</f>
        <v>—</v>
      </c>
    </row>
    <row r="56" customFormat="false" ht="15" hidden="false" customHeight="true" outlineLevel="0" collapsed="false">
      <c r="B56" s="21" t="str">
        <f aca="false">'BOQ Summary'!B49</f>
        <v>040</v>
      </c>
      <c r="C56" s="22" t="str">
        <f aca="false">'BOQ Summary'!C49</f>
        <v>PLUMBING - WATER TANKS, PUMPS, SEPTIC REQUIREMENTS</v>
      </c>
      <c r="D56" s="23" t="n">
        <f aca="false">'BOQ Summary'!D49</f>
        <v>0</v>
      </c>
      <c r="E56" s="23" t="n">
        <f aca="false">'BOQ Summary'!F49</f>
        <v>0</v>
      </c>
      <c r="F56" s="23" t="n">
        <f aca="false">'BOQ Summary'!G49</f>
        <v>0</v>
      </c>
      <c r="G56" s="23" t="n">
        <f aca="false">'BOQ Summary'!H49</f>
        <v>0</v>
      </c>
      <c r="H56" s="23" t="n">
        <f aca="false">'BOQ Summary'!I49</f>
        <v>0</v>
      </c>
      <c r="I56" s="23" t="n">
        <f aca="false">'BOQ Summary'!J49</f>
        <v>0</v>
      </c>
      <c r="J56" s="23" t="n">
        <f aca="false">'BOQ Summary'!K49</f>
        <v>0</v>
      </c>
      <c r="K56" s="24" t="n">
        <f aca="false">IFERROR(H56/F56,0)</f>
        <v>0</v>
      </c>
      <c r="L56" s="25" t="str">
        <f aca="false">IF(F56=0,"—",IF(I56&lt;=F56,"✔ OK",IF(I56&lt;=F56*1.1,"▲ RISK","✖ OVER")))</f>
        <v>—</v>
      </c>
    </row>
    <row r="57" customFormat="false" ht="15" hidden="false" customHeight="true" outlineLevel="0" collapsed="false">
      <c r="B57" s="16" t="str">
        <f aca="false">'BOQ Summary'!B50</f>
        <v>041</v>
      </c>
      <c r="C57" s="17" t="str">
        <f aca="false">'BOQ Summary'!C50</f>
        <v>APPLIANCES - OVENS, FRIDGES, ETC.</v>
      </c>
      <c r="D57" s="18" t="n">
        <f aca="false">'BOQ Summary'!D50</f>
        <v>0</v>
      </c>
      <c r="E57" s="18" t="n">
        <f aca="false">'BOQ Summary'!F50</f>
        <v>0</v>
      </c>
      <c r="F57" s="18" t="n">
        <f aca="false">'BOQ Summary'!G50</f>
        <v>0</v>
      </c>
      <c r="G57" s="18" t="n">
        <f aca="false">'BOQ Summary'!H50</f>
        <v>0</v>
      </c>
      <c r="H57" s="18" t="n">
        <f aca="false">'BOQ Summary'!I50</f>
        <v>0</v>
      </c>
      <c r="I57" s="18" t="n">
        <f aca="false">'BOQ Summary'!J50</f>
        <v>0</v>
      </c>
      <c r="J57" s="18" t="n">
        <f aca="false">'BOQ Summary'!K50</f>
        <v>0</v>
      </c>
      <c r="K57" s="19" t="n">
        <f aca="false">IFERROR(H57/F57,0)</f>
        <v>0</v>
      </c>
      <c r="L57" s="20" t="str">
        <f aca="false">IF(F57=0,"—",IF(I57&lt;=F57,"✔ OK",IF(I57&lt;=F57*1.1,"▲ RISK","✖ OVER")))</f>
        <v>—</v>
      </c>
    </row>
    <row r="58" customFormat="false" ht="15" hidden="false" customHeight="true" outlineLevel="0" collapsed="false">
      <c r="B58" s="21" t="str">
        <f aca="false">'BOQ Summary'!B51</f>
        <v>042</v>
      </c>
      <c r="C58" s="22" t="str">
        <f aca="false">'BOQ Summary'!C51</f>
        <v>PROVISIONAL SUMS</v>
      </c>
      <c r="D58" s="23" t="n">
        <f aca="false">'BOQ Summary'!D51</f>
        <v>0</v>
      </c>
      <c r="E58" s="23" t="n">
        <f aca="false">'BOQ Summary'!F51</f>
        <v>0</v>
      </c>
      <c r="F58" s="23" t="n">
        <f aca="false">'BOQ Summary'!G51</f>
        <v>0</v>
      </c>
      <c r="G58" s="23" t="n">
        <f aca="false">'BOQ Summary'!H51</f>
        <v>0</v>
      </c>
      <c r="H58" s="23" t="n">
        <f aca="false">'BOQ Summary'!I51</f>
        <v>0</v>
      </c>
      <c r="I58" s="23" t="n">
        <f aca="false">'BOQ Summary'!J51</f>
        <v>0</v>
      </c>
      <c r="J58" s="23" t="n">
        <f aca="false">'BOQ Summary'!K51</f>
        <v>0</v>
      </c>
      <c r="K58" s="24" t="n">
        <f aca="false">IFERROR(H58/F58,0)</f>
        <v>0</v>
      </c>
      <c r="L58" s="25" t="str">
        <f aca="false">IF(F58=0,"—",IF(I58&lt;=F58,"✔ OK",IF(I58&lt;=F58*1.1,"▲ RISK","✖ OVER")))</f>
        <v>—</v>
      </c>
    </row>
    <row r="59" customFormat="false" ht="15" hidden="false" customHeight="true" outlineLevel="0" collapsed="false">
      <c r="B59" s="16" t="str">
        <f aca="false">'BOQ Summary'!B52</f>
        <v>043</v>
      </c>
      <c r="C59" s="17" t="str">
        <f aca="false">'BOQ Summary'!C52</f>
        <v>PRIME COST ALLOWANCE</v>
      </c>
      <c r="D59" s="18" t="n">
        <f aca="false">'BOQ Summary'!D52</f>
        <v>0</v>
      </c>
      <c r="E59" s="18" t="n">
        <f aca="false">'BOQ Summary'!F52</f>
        <v>0</v>
      </c>
      <c r="F59" s="18" t="n">
        <f aca="false">'BOQ Summary'!G52</f>
        <v>0</v>
      </c>
      <c r="G59" s="18" t="n">
        <f aca="false">'BOQ Summary'!H52</f>
        <v>0</v>
      </c>
      <c r="H59" s="18" t="n">
        <f aca="false">'BOQ Summary'!I52</f>
        <v>0</v>
      </c>
      <c r="I59" s="18" t="n">
        <f aca="false">'BOQ Summary'!J52</f>
        <v>0</v>
      </c>
      <c r="J59" s="18" t="n">
        <f aca="false">'BOQ Summary'!K52</f>
        <v>0</v>
      </c>
      <c r="K59" s="19" t="n">
        <f aca="false">IFERROR(H59/F59,0)</f>
        <v>0</v>
      </c>
      <c r="L59" s="20" t="str">
        <f aca="false">IF(F59=0,"—",IF(I59&lt;=F59,"✔ OK",IF(I59&lt;=F59*1.1,"▲ RISK","✖ OVER")))</f>
        <v>—</v>
      </c>
    </row>
    <row r="60" customFormat="false" ht="15" hidden="false" customHeight="true" outlineLevel="0" collapsed="false">
      <c r="B60" s="21" t="str">
        <f aca="false">'BOQ Summary'!B53</f>
        <v>044</v>
      </c>
      <c r="C60" s="22" t="str">
        <f aca="false">'BOQ Summary'!C53</f>
        <v>PROJECT OVERHEAD COSTS</v>
      </c>
      <c r="D60" s="23" t="n">
        <f aca="false">'BOQ Summary'!D53</f>
        <v>0</v>
      </c>
      <c r="E60" s="23" t="n">
        <f aca="false">'BOQ Summary'!F53</f>
        <v>0</v>
      </c>
      <c r="F60" s="23" t="n">
        <f aca="false">'BOQ Summary'!G53</f>
        <v>0</v>
      </c>
      <c r="G60" s="23" t="n">
        <f aca="false">'BOQ Summary'!H53</f>
        <v>0</v>
      </c>
      <c r="H60" s="23" t="n">
        <f aca="false">'BOQ Summary'!I53</f>
        <v>0</v>
      </c>
      <c r="I60" s="23" t="n">
        <f aca="false">'BOQ Summary'!J53</f>
        <v>0</v>
      </c>
      <c r="J60" s="23" t="n">
        <f aca="false">'BOQ Summary'!K53</f>
        <v>0</v>
      </c>
      <c r="K60" s="24" t="n">
        <f aca="false">IFERROR(H60/F60,0)</f>
        <v>0</v>
      </c>
      <c r="L60" s="25" t="str">
        <f aca="false">IF(F60=0,"—",IF(I60&lt;=F60,"✔ OK",IF(I60&lt;=F60*1.1,"▲ RISK","✖ OVER")))</f>
        <v>—</v>
      </c>
    </row>
    <row r="61" customFormat="false" ht="21.75" hidden="false" customHeight="true" outlineLevel="0" collapsed="false">
      <c r="B61" s="26" t="s">
        <v>25</v>
      </c>
      <c r="C61" s="27"/>
      <c r="D61" s="28" t="n">
        <f aca="false">SUM(D17:D60)</f>
        <v>0</v>
      </c>
      <c r="E61" s="28" t="n">
        <f aca="false">SUM(E17:E60)</f>
        <v>0</v>
      </c>
      <c r="F61" s="28" t="n">
        <f aca="false">SUM(F17:F60)</f>
        <v>0</v>
      </c>
      <c r="G61" s="28" t="n">
        <f aca="false">SUM(G17:G60)</f>
        <v>0</v>
      </c>
      <c r="H61" s="28" t="n">
        <f aca="false">SUM(H17:H60)</f>
        <v>0</v>
      </c>
      <c r="I61" s="28" t="n">
        <f aca="false">SUM(I17:I60)</f>
        <v>0</v>
      </c>
      <c r="J61" s="28" t="n">
        <f aca="false">SUM(J17:J60)</f>
        <v>0</v>
      </c>
      <c r="K61" s="2"/>
      <c r="L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J4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3"/>
  </cols>
  <sheetData>
    <row r="2" customFormat="false" ht="39.75" hidden="false" customHeight="true" outlineLevel="0" collapsed="false">
      <c r="B2" s="1" t="s">
        <v>26</v>
      </c>
      <c r="C2" s="2"/>
      <c r="D2" s="2"/>
      <c r="E2" s="2"/>
      <c r="F2" s="2"/>
      <c r="G2" s="2"/>
      <c r="H2" s="2"/>
      <c r="I2" s="2"/>
    </row>
    <row r="3" customFormat="false" ht="4.5" hidden="false" customHeight="true" outlineLevel="0" collapsed="false"/>
    <row r="4" customFormat="false" ht="15.75" hidden="false" customHeight="true" outlineLevel="0" collapsed="false">
      <c r="B4" s="29" t="s">
        <v>27</v>
      </c>
      <c r="C4" s="5"/>
      <c r="D4" s="5"/>
      <c r="E4" s="5"/>
      <c r="F4" s="5"/>
      <c r="G4" s="5"/>
      <c r="H4" s="5"/>
      <c r="I4" s="5"/>
    </row>
    <row r="5" customFormat="false" ht="4.5" hidden="false" customHeight="true" outlineLevel="0" collapsed="false"/>
    <row r="6" customFormat="false" ht="27.75" hidden="false" customHeight="true" outlineLevel="0" collapsed="false">
      <c r="B6" s="15" t="s">
        <v>19</v>
      </c>
      <c r="C6" s="15" t="s">
        <v>28</v>
      </c>
      <c r="D6" s="15" t="s">
        <v>29</v>
      </c>
      <c r="E6" s="15" t="s">
        <v>30</v>
      </c>
      <c r="F6" s="15" t="s">
        <v>31</v>
      </c>
      <c r="G6" s="15" t="s">
        <v>32</v>
      </c>
      <c r="H6" s="15" t="s">
        <v>33</v>
      </c>
      <c r="I6" s="15" t="s">
        <v>34</v>
      </c>
      <c r="J6" s="2"/>
    </row>
    <row r="7" customFormat="false" ht="16.5" hidden="false" customHeight="true" outlineLevel="0" collapsed="false">
      <c r="B7" s="30" t="s">
        <v>35</v>
      </c>
      <c r="C7" s="31"/>
      <c r="D7" s="31"/>
      <c r="E7" s="31"/>
      <c r="F7" s="31"/>
      <c r="G7" s="31"/>
      <c r="H7" s="31"/>
      <c r="I7" s="31"/>
      <c r="J7" s="31"/>
    </row>
    <row r="8" customFormat="false" ht="15.75" hidden="false" customHeight="true" outlineLevel="0" collapsed="false">
      <c r="B8" s="32" t="s">
        <v>36</v>
      </c>
      <c r="C8" s="32" t="s">
        <v>37</v>
      </c>
      <c r="D8" s="33"/>
      <c r="E8" s="32"/>
      <c r="F8" s="32"/>
      <c r="G8" s="34" t="n">
        <v>0</v>
      </c>
      <c r="H8" s="35" t="n">
        <f aca="false">IF(E8="",G8,IF(ISNUMBER(E8),E8*G8,G8))</f>
        <v>0</v>
      </c>
      <c r="I8" s="33"/>
      <c r="J8" s="13"/>
    </row>
    <row r="9" customFormat="false" ht="15.75" hidden="false" customHeight="true" outlineLevel="0" collapsed="false">
      <c r="B9" s="36" t="s">
        <v>36</v>
      </c>
      <c r="C9" s="36" t="s">
        <v>38</v>
      </c>
      <c r="D9" s="4"/>
      <c r="E9" s="36"/>
      <c r="F9" s="36"/>
      <c r="G9" s="37" t="n">
        <v>0</v>
      </c>
      <c r="H9" s="35" t="n">
        <f aca="false">IF(E9="",G9,IF(ISNUMBER(E9),E9*G9,G9))</f>
        <v>0</v>
      </c>
      <c r="I9" s="4"/>
      <c r="J9" s="5"/>
    </row>
    <row r="10" customFormat="false" ht="15.75" hidden="false" customHeight="true" outlineLevel="0" collapsed="false">
      <c r="B10" s="32" t="s">
        <v>36</v>
      </c>
      <c r="C10" s="32" t="s">
        <v>39</v>
      </c>
      <c r="D10" s="33"/>
      <c r="E10" s="32"/>
      <c r="F10" s="32"/>
      <c r="G10" s="34" t="n">
        <v>0</v>
      </c>
      <c r="H10" s="35" t="n">
        <f aca="false">IF(E10="",G10,IF(ISNUMBER(E10),E10*G10,G10))</f>
        <v>0</v>
      </c>
      <c r="I10" s="33"/>
      <c r="J10" s="13"/>
    </row>
    <row r="11" customFormat="false" ht="15.75" hidden="false" customHeight="true" outlineLevel="0" collapsed="false">
      <c r="B11" s="36" t="s">
        <v>36</v>
      </c>
      <c r="C11" s="36" t="s">
        <v>40</v>
      </c>
      <c r="D11" s="4"/>
      <c r="E11" s="36"/>
      <c r="F11" s="36"/>
      <c r="G11" s="37" t="n">
        <v>0</v>
      </c>
      <c r="H11" s="35" t="n">
        <f aca="false">IF(E11="",G11,IF(ISNUMBER(E11),E11*G11,G11))</f>
        <v>0</v>
      </c>
      <c r="I11" s="4"/>
      <c r="J11" s="5"/>
    </row>
    <row r="12" customFormat="false" ht="15.75" hidden="false" customHeight="true" outlineLevel="0" collapsed="false">
      <c r="B12" s="32" t="s">
        <v>36</v>
      </c>
      <c r="C12" s="32" t="s">
        <v>41</v>
      </c>
      <c r="D12" s="33"/>
      <c r="E12" s="32"/>
      <c r="F12" s="32"/>
      <c r="G12" s="34" t="n">
        <v>0</v>
      </c>
      <c r="H12" s="35" t="n">
        <f aca="false">IF(E12="",G12,IF(ISNUMBER(E12),E12*G12,G12))</f>
        <v>0</v>
      </c>
      <c r="I12" s="33"/>
      <c r="J12" s="13"/>
    </row>
    <row r="13" customFormat="false" ht="15.75" hidden="false" customHeight="true" outlineLevel="0" collapsed="false">
      <c r="B13" s="36" t="s">
        <v>36</v>
      </c>
      <c r="C13" s="36" t="s">
        <v>42</v>
      </c>
      <c r="D13" s="4"/>
      <c r="E13" s="36"/>
      <c r="F13" s="36"/>
      <c r="G13" s="37" t="n">
        <v>0</v>
      </c>
      <c r="H13" s="35" t="n">
        <f aca="false">IF(E13="",G13,IF(ISNUMBER(E13),E13*G13,G13))</f>
        <v>0</v>
      </c>
      <c r="I13" s="4"/>
      <c r="J13" s="5"/>
    </row>
    <row r="14" customFormat="false" ht="15.75" hidden="false" customHeight="true" outlineLevel="0" collapsed="false">
      <c r="B14" s="32" t="s">
        <v>36</v>
      </c>
      <c r="C14" s="32" t="s">
        <v>43</v>
      </c>
      <c r="D14" s="33"/>
      <c r="E14" s="32"/>
      <c r="F14" s="32"/>
      <c r="G14" s="34" t="n">
        <v>0</v>
      </c>
      <c r="H14" s="35" t="n">
        <f aca="false">IF(E14="",G14,IF(ISNUMBER(E14),E14*G14,G14))</f>
        <v>0</v>
      </c>
      <c r="I14" s="33"/>
      <c r="J14" s="13"/>
    </row>
    <row r="15" customFormat="false" ht="15.75" hidden="false" customHeight="true" outlineLevel="0" collapsed="false">
      <c r="B15" s="36" t="s">
        <v>36</v>
      </c>
      <c r="C15" s="36" t="s">
        <v>44</v>
      </c>
      <c r="D15" s="4"/>
      <c r="E15" s="36"/>
      <c r="F15" s="36"/>
      <c r="G15" s="37" t="n">
        <v>0</v>
      </c>
      <c r="H15" s="35" t="n">
        <f aca="false">IF(E15="",G15,IF(ISNUMBER(E15),E15*G15,G15))</f>
        <v>0</v>
      </c>
      <c r="I15" s="4"/>
      <c r="J15" s="5"/>
    </row>
    <row r="16" customFormat="false" ht="3" hidden="false" customHeight="true" outlineLevel="0" collapsed="false"/>
    <row r="17" customFormat="false" ht="16.5" hidden="false" customHeight="true" outlineLevel="0" collapsed="false">
      <c r="B17" s="30" t="s">
        <v>45</v>
      </c>
      <c r="C17" s="31"/>
      <c r="D17" s="31"/>
      <c r="E17" s="31"/>
      <c r="F17" s="31"/>
      <c r="G17" s="31"/>
      <c r="H17" s="31"/>
      <c r="I17" s="31"/>
      <c r="J17" s="31"/>
    </row>
    <row r="18" customFormat="false" ht="15.75" hidden="false" customHeight="true" outlineLevel="0" collapsed="false">
      <c r="B18" s="32" t="s">
        <v>46</v>
      </c>
      <c r="C18" s="32" t="s">
        <v>47</v>
      </c>
      <c r="D18" s="33"/>
      <c r="E18" s="32"/>
      <c r="F18" s="32"/>
      <c r="G18" s="34" t="n">
        <v>0</v>
      </c>
      <c r="H18" s="35" t="n">
        <f aca="false">IF(E18="",G18,IF(ISNUMBER(E18),E18*G18,G18))</f>
        <v>0</v>
      </c>
      <c r="I18" s="33"/>
      <c r="J18" s="13"/>
    </row>
    <row r="19" customFormat="false" ht="15.75" hidden="false" customHeight="true" outlineLevel="0" collapsed="false">
      <c r="B19" s="36" t="s">
        <v>46</v>
      </c>
      <c r="C19" s="36" t="s">
        <v>48</v>
      </c>
      <c r="D19" s="4"/>
      <c r="E19" s="36"/>
      <c r="F19" s="36"/>
      <c r="G19" s="37" t="n">
        <v>0</v>
      </c>
      <c r="H19" s="35" t="n">
        <f aca="false">IF(E19="",G19,IF(ISNUMBER(E19),E19*G19,G19))</f>
        <v>0</v>
      </c>
      <c r="I19" s="4"/>
      <c r="J19" s="5"/>
    </row>
    <row r="20" customFormat="false" ht="15.75" hidden="false" customHeight="true" outlineLevel="0" collapsed="false">
      <c r="B20" s="32" t="s">
        <v>46</v>
      </c>
      <c r="C20" s="32" t="s">
        <v>49</v>
      </c>
      <c r="D20" s="33"/>
      <c r="E20" s="32"/>
      <c r="F20" s="32"/>
      <c r="G20" s="34" t="n">
        <v>0</v>
      </c>
      <c r="H20" s="35" t="n">
        <f aca="false">IF(E20="",G20,IF(ISNUMBER(E20),E20*G20,G20))</f>
        <v>0</v>
      </c>
      <c r="I20" s="33"/>
      <c r="J20" s="13"/>
    </row>
    <row r="21" customFormat="false" ht="15.75" hidden="false" customHeight="true" outlineLevel="0" collapsed="false">
      <c r="B21" s="36" t="s">
        <v>46</v>
      </c>
      <c r="C21" s="36" t="s">
        <v>50</v>
      </c>
      <c r="D21" s="4"/>
      <c r="E21" s="36"/>
      <c r="F21" s="36"/>
      <c r="G21" s="37" t="n">
        <v>0</v>
      </c>
      <c r="H21" s="35" t="n">
        <f aca="false">IF(E21="",G21,IF(ISNUMBER(E21),E21*G21,G21))</f>
        <v>0</v>
      </c>
      <c r="I21" s="4"/>
      <c r="J21" s="5"/>
    </row>
    <row r="22" customFormat="false" ht="15.75" hidden="false" customHeight="true" outlineLevel="0" collapsed="false">
      <c r="B22" s="32" t="s">
        <v>46</v>
      </c>
      <c r="C22" s="32" t="s">
        <v>51</v>
      </c>
      <c r="D22" s="33"/>
      <c r="E22" s="32"/>
      <c r="F22" s="32"/>
      <c r="G22" s="34" t="n">
        <v>0</v>
      </c>
      <c r="H22" s="35" t="n">
        <f aca="false">IF(E22="",G22,IF(ISNUMBER(E22),E22*G22,G22))</f>
        <v>0</v>
      </c>
      <c r="I22" s="33"/>
      <c r="J22" s="13"/>
    </row>
    <row r="23" customFormat="false" ht="15.75" hidden="false" customHeight="true" outlineLevel="0" collapsed="false">
      <c r="B23" s="36" t="s">
        <v>46</v>
      </c>
      <c r="C23" s="36" t="s">
        <v>52</v>
      </c>
      <c r="D23" s="4"/>
      <c r="E23" s="36"/>
      <c r="F23" s="36"/>
      <c r="G23" s="37" t="n">
        <v>0</v>
      </c>
      <c r="H23" s="35" t="n">
        <f aca="false">IF(E23="",G23,IF(ISNUMBER(E23),E23*G23,G23))</f>
        <v>0</v>
      </c>
      <c r="I23" s="4"/>
      <c r="J23" s="5"/>
    </row>
    <row r="24" customFormat="false" ht="15.75" hidden="false" customHeight="true" outlineLevel="0" collapsed="false">
      <c r="B24" s="32" t="s">
        <v>46</v>
      </c>
      <c r="C24" s="32" t="s">
        <v>53</v>
      </c>
      <c r="D24" s="33"/>
      <c r="E24" s="32"/>
      <c r="F24" s="32"/>
      <c r="G24" s="34" t="n">
        <v>0</v>
      </c>
      <c r="H24" s="35" t="n">
        <f aca="false">IF(E24="",G24,IF(ISNUMBER(E24),E24*G24,G24))</f>
        <v>0</v>
      </c>
      <c r="I24" s="33"/>
      <c r="J24" s="13"/>
    </row>
    <row r="25" customFormat="false" ht="15.75" hidden="false" customHeight="true" outlineLevel="0" collapsed="false">
      <c r="B25" s="36" t="s">
        <v>46</v>
      </c>
      <c r="C25" s="36" t="s">
        <v>54</v>
      </c>
      <c r="D25" s="4"/>
      <c r="E25" s="36"/>
      <c r="F25" s="36"/>
      <c r="G25" s="37" t="n">
        <v>0</v>
      </c>
      <c r="H25" s="35" t="n">
        <f aca="false">IF(E25="",G25,IF(ISNUMBER(E25),E25*G25,G25))</f>
        <v>0</v>
      </c>
      <c r="I25" s="4"/>
      <c r="J25" s="5"/>
    </row>
    <row r="26" customFormat="false" ht="3" hidden="false" customHeight="true" outlineLevel="0" collapsed="false"/>
    <row r="27" customFormat="false" ht="16.5" hidden="false" customHeight="true" outlineLevel="0" collapsed="false">
      <c r="B27" s="30" t="s">
        <v>55</v>
      </c>
      <c r="C27" s="31"/>
      <c r="D27" s="31"/>
      <c r="E27" s="31"/>
      <c r="F27" s="31"/>
      <c r="G27" s="31"/>
      <c r="H27" s="31"/>
      <c r="I27" s="31"/>
      <c r="J27" s="31"/>
    </row>
    <row r="28" customFormat="false" ht="15.75" hidden="false" customHeight="true" outlineLevel="0" collapsed="false">
      <c r="B28" s="32" t="s">
        <v>56</v>
      </c>
      <c r="C28" s="32" t="s">
        <v>57</v>
      </c>
      <c r="D28" s="33"/>
      <c r="E28" s="32"/>
      <c r="F28" s="32"/>
      <c r="G28" s="34" t="n">
        <v>0</v>
      </c>
      <c r="H28" s="35" t="n">
        <f aca="false">IF(E28="",G28,IF(ISNUMBER(E28),E28*G28,G28))</f>
        <v>0</v>
      </c>
      <c r="I28" s="33"/>
      <c r="J28" s="13"/>
    </row>
    <row r="29" customFormat="false" ht="15.75" hidden="false" customHeight="true" outlineLevel="0" collapsed="false">
      <c r="B29" s="36" t="s">
        <v>56</v>
      </c>
      <c r="C29" s="36" t="s">
        <v>58</v>
      </c>
      <c r="D29" s="4"/>
      <c r="E29" s="36"/>
      <c r="F29" s="36"/>
      <c r="G29" s="37" t="n">
        <v>0</v>
      </c>
      <c r="H29" s="35" t="n">
        <f aca="false">IF(E29="",G29,IF(ISNUMBER(E29),E29*G29,G29))</f>
        <v>0</v>
      </c>
      <c r="I29" s="4"/>
      <c r="J29" s="5"/>
    </row>
    <row r="30" customFormat="false" ht="15.75" hidden="false" customHeight="true" outlineLevel="0" collapsed="false">
      <c r="B30" s="32" t="s">
        <v>56</v>
      </c>
      <c r="C30" s="32" t="s">
        <v>59</v>
      </c>
      <c r="D30" s="33"/>
      <c r="E30" s="32"/>
      <c r="F30" s="32"/>
      <c r="G30" s="34" t="n">
        <v>0</v>
      </c>
      <c r="H30" s="35" t="n">
        <f aca="false">IF(E30="",G30,IF(ISNUMBER(E30),E30*G30,G30))</f>
        <v>0</v>
      </c>
      <c r="I30" s="33"/>
      <c r="J30" s="13"/>
    </row>
    <row r="31" customFormat="false" ht="15.75" hidden="false" customHeight="true" outlineLevel="0" collapsed="false">
      <c r="B31" s="36" t="s">
        <v>56</v>
      </c>
      <c r="C31" s="36" t="s">
        <v>60</v>
      </c>
      <c r="D31" s="4"/>
      <c r="E31" s="36"/>
      <c r="F31" s="36"/>
      <c r="G31" s="37" t="n">
        <v>0</v>
      </c>
      <c r="H31" s="35" t="n">
        <f aca="false">IF(E31="",G31,IF(ISNUMBER(E31),E31*G31,G31))</f>
        <v>0</v>
      </c>
      <c r="I31" s="4"/>
      <c r="J31" s="5"/>
    </row>
    <row r="32" customFormat="false" ht="15.75" hidden="false" customHeight="true" outlineLevel="0" collapsed="false">
      <c r="B32" s="32" t="s">
        <v>56</v>
      </c>
      <c r="C32" s="32" t="s">
        <v>61</v>
      </c>
      <c r="D32" s="33"/>
      <c r="E32" s="32"/>
      <c r="F32" s="32"/>
      <c r="G32" s="34" t="n">
        <v>0</v>
      </c>
      <c r="H32" s="35" t="n">
        <f aca="false">IF(E32="",G32,IF(ISNUMBER(E32),E32*G32,G32))</f>
        <v>0</v>
      </c>
      <c r="I32" s="33"/>
      <c r="J32" s="13"/>
    </row>
    <row r="33" customFormat="false" ht="15.75" hidden="false" customHeight="true" outlineLevel="0" collapsed="false">
      <c r="B33" s="36" t="s">
        <v>56</v>
      </c>
      <c r="C33" s="36" t="s">
        <v>62</v>
      </c>
      <c r="D33" s="4"/>
      <c r="E33" s="36"/>
      <c r="F33" s="36"/>
      <c r="G33" s="37" t="n">
        <v>0</v>
      </c>
      <c r="H33" s="35" t="n">
        <f aca="false">IF(E33="",G33,IF(ISNUMBER(E33),E33*G33,G33))</f>
        <v>0</v>
      </c>
      <c r="I33" s="4"/>
      <c r="J33" s="5"/>
    </row>
    <row r="34" customFormat="false" ht="15.75" hidden="false" customHeight="true" outlineLevel="0" collapsed="false">
      <c r="B34" s="32" t="s">
        <v>56</v>
      </c>
      <c r="C34" s="32" t="s">
        <v>63</v>
      </c>
      <c r="D34" s="33"/>
      <c r="E34" s="32"/>
      <c r="F34" s="32"/>
      <c r="G34" s="34" t="n">
        <v>0</v>
      </c>
      <c r="H34" s="35" t="n">
        <f aca="false">IF(E34="",G34,IF(ISNUMBER(E34),E34*G34,G34))</f>
        <v>0</v>
      </c>
      <c r="I34" s="33"/>
      <c r="J34" s="13"/>
    </row>
    <row r="35" customFormat="false" ht="15.75" hidden="false" customHeight="true" outlineLevel="0" collapsed="false">
      <c r="B35" s="36" t="s">
        <v>56</v>
      </c>
      <c r="C35" s="36" t="s">
        <v>64</v>
      </c>
      <c r="D35" s="4"/>
      <c r="E35" s="36"/>
      <c r="F35" s="36"/>
      <c r="G35" s="37" t="n">
        <v>0</v>
      </c>
      <c r="H35" s="35" t="n">
        <f aca="false">IF(E35="",G35,IF(ISNUMBER(E35),E35*G35,G35))</f>
        <v>0</v>
      </c>
      <c r="I35" s="4"/>
      <c r="J35" s="5"/>
    </row>
    <row r="36" customFormat="false" ht="3" hidden="false" customHeight="true" outlineLevel="0" collapsed="false"/>
    <row r="37" customFormat="false" ht="16.5" hidden="false" customHeight="true" outlineLevel="0" collapsed="false">
      <c r="B37" s="30" t="s">
        <v>65</v>
      </c>
      <c r="C37" s="31"/>
      <c r="D37" s="31"/>
      <c r="E37" s="31"/>
      <c r="F37" s="31"/>
      <c r="G37" s="31"/>
      <c r="H37" s="31"/>
      <c r="I37" s="31"/>
      <c r="J37" s="31"/>
    </row>
    <row r="38" customFormat="false" ht="15.75" hidden="false" customHeight="true" outlineLevel="0" collapsed="false">
      <c r="B38" s="32" t="s">
        <v>66</v>
      </c>
      <c r="C38" s="32" t="s">
        <v>67</v>
      </c>
      <c r="D38" s="33"/>
      <c r="E38" s="32"/>
      <c r="F38" s="32"/>
      <c r="G38" s="34" t="n">
        <v>0</v>
      </c>
      <c r="H38" s="35" t="n">
        <f aca="false">IF(E38="",G38,IF(ISNUMBER(E38),E38*G38,G38))</f>
        <v>0</v>
      </c>
      <c r="I38" s="33"/>
      <c r="J38" s="13"/>
    </row>
    <row r="39" customFormat="false" ht="15.75" hidden="false" customHeight="true" outlineLevel="0" collapsed="false">
      <c r="B39" s="36" t="s">
        <v>66</v>
      </c>
      <c r="C39" s="36" t="s">
        <v>68</v>
      </c>
      <c r="D39" s="4"/>
      <c r="E39" s="36"/>
      <c r="F39" s="36"/>
      <c r="G39" s="37" t="n">
        <v>0</v>
      </c>
      <c r="H39" s="35" t="n">
        <f aca="false">IF(E39="",G39,IF(ISNUMBER(E39),E39*G39,G39))</f>
        <v>0</v>
      </c>
      <c r="I39" s="4"/>
      <c r="J39" s="5"/>
    </row>
    <row r="40" customFormat="false" ht="15.75" hidden="false" customHeight="true" outlineLevel="0" collapsed="false">
      <c r="B40" s="32" t="s">
        <v>66</v>
      </c>
      <c r="C40" s="32" t="s">
        <v>69</v>
      </c>
      <c r="D40" s="33"/>
      <c r="E40" s="32"/>
      <c r="F40" s="32"/>
      <c r="G40" s="34" t="n">
        <v>0</v>
      </c>
      <c r="H40" s="35" t="n">
        <f aca="false">IF(E40="",G40,IF(ISNUMBER(E40),E40*G40,G40))</f>
        <v>0</v>
      </c>
      <c r="I40" s="33"/>
      <c r="J40" s="13"/>
    </row>
    <row r="41" customFormat="false" ht="15.75" hidden="false" customHeight="true" outlineLevel="0" collapsed="false">
      <c r="B41" s="36" t="s">
        <v>66</v>
      </c>
      <c r="C41" s="36" t="s">
        <v>70</v>
      </c>
      <c r="D41" s="4"/>
      <c r="E41" s="36"/>
      <c r="F41" s="36"/>
      <c r="G41" s="37" t="n">
        <v>0</v>
      </c>
      <c r="H41" s="35" t="n">
        <f aca="false">IF(E41="",G41,IF(ISNUMBER(E41),E41*G41,G41))</f>
        <v>0</v>
      </c>
      <c r="I41" s="4"/>
      <c r="J41" s="5"/>
    </row>
    <row r="42" customFormat="false" ht="15.75" hidden="false" customHeight="true" outlineLevel="0" collapsed="false">
      <c r="B42" s="32" t="s">
        <v>66</v>
      </c>
      <c r="C42" s="32" t="s">
        <v>71</v>
      </c>
      <c r="D42" s="33"/>
      <c r="E42" s="32"/>
      <c r="F42" s="32"/>
      <c r="G42" s="34" t="n">
        <v>0</v>
      </c>
      <c r="H42" s="35" t="n">
        <f aca="false">IF(E42="",G42,IF(ISNUMBER(E42),E42*G42,G42))</f>
        <v>0</v>
      </c>
      <c r="I42" s="33"/>
      <c r="J42" s="13"/>
    </row>
    <row r="43" customFormat="false" ht="15.75" hidden="false" customHeight="true" outlineLevel="0" collapsed="false">
      <c r="B43" s="36" t="s">
        <v>66</v>
      </c>
      <c r="C43" s="36" t="s">
        <v>72</v>
      </c>
      <c r="D43" s="4"/>
      <c r="E43" s="36"/>
      <c r="F43" s="36"/>
      <c r="G43" s="37" t="n">
        <v>0</v>
      </c>
      <c r="H43" s="35" t="n">
        <f aca="false">IF(E43="",G43,IF(ISNUMBER(E43),E43*G43,G43))</f>
        <v>0</v>
      </c>
      <c r="I43" s="4"/>
      <c r="J43" s="5"/>
    </row>
    <row r="44" customFormat="false" ht="15.75" hidden="false" customHeight="true" outlineLevel="0" collapsed="false">
      <c r="B44" s="32" t="s">
        <v>66</v>
      </c>
      <c r="C44" s="32" t="s">
        <v>73</v>
      </c>
      <c r="D44" s="33"/>
      <c r="E44" s="32"/>
      <c r="F44" s="32"/>
      <c r="G44" s="34" t="n">
        <v>0</v>
      </c>
      <c r="H44" s="35" t="n">
        <f aca="false">IF(E44="",G44,IF(ISNUMBER(E44),E44*G44,G44))</f>
        <v>0</v>
      </c>
      <c r="I44" s="33"/>
      <c r="J44" s="13"/>
    </row>
    <row r="45" customFormat="false" ht="15.75" hidden="false" customHeight="true" outlineLevel="0" collapsed="false">
      <c r="B45" s="36" t="s">
        <v>66</v>
      </c>
      <c r="C45" s="36" t="s">
        <v>74</v>
      </c>
      <c r="D45" s="4"/>
      <c r="E45" s="36"/>
      <c r="F45" s="36"/>
      <c r="G45" s="37" t="n">
        <v>0</v>
      </c>
      <c r="H45" s="35" t="n">
        <f aca="false">IF(E45="",G45,IF(ISNUMBER(E45),E45*G45,G45))</f>
        <v>0</v>
      </c>
      <c r="I45" s="4"/>
      <c r="J45" s="5"/>
    </row>
    <row r="46" customFormat="false" ht="3" hidden="false" customHeight="true" outlineLevel="0" collapsed="false"/>
    <row r="47" customFormat="false" ht="16.5" hidden="false" customHeight="true" outlineLevel="0" collapsed="false">
      <c r="B47" s="30" t="s">
        <v>75</v>
      </c>
      <c r="C47" s="31"/>
      <c r="D47" s="31"/>
      <c r="E47" s="31"/>
      <c r="F47" s="31"/>
      <c r="G47" s="31"/>
      <c r="H47" s="31"/>
      <c r="I47" s="31"/>
      <c r="J47" s="31"/>
    </row>
    <row r="48" customFormat="false" ht="15.75" hidden="false" customHeight="true" outlineLevel="0" collapsed="false">
      <c r="B48" s="32" t="s">
        <v>76</v>
      </c>
      <c r="C48" s="32" t="s">
        <v>77</v>
      </c>
      <c r="D48" s="33"/>
      <c r="E48" s="32"/>
      <c r="F48" s="32"/>
      <c r="G48" s="34" t="n">
        <v>0</v>
      </c>
      <c r="H48" s="35" t="n">
        <f aca="false">IF(E48="",G48,IF(ISNUMBER(E48),E48*G48,G48))</f>
        <v>0</v>
      </c>
      <c r="I48" s="33"/>
      <c r="J48" s="13"/>
    </row>
    <row r="49" customFormat="false" ht="15.75" hidden="false" customHeight="true" outlineLevel="0" collapsed="false">
      <c r="B49" s="36" t="s">
        <v>76</v>
      </c>
      <c r="C49" s="36" t="s">
        <v>78</v>
      </c>
      <c r="D49" s="4"/>
      <c r="E49" s="36"/>
      <c r="F49" s="36"/>
      <c r="G49" s="37" t="n">
        <v>0</v>
      </c>
      <c r="H49" s="35" t="n">
        <f aca="false">IF(E49="",G49,IF(ISNUMBER(E49),E49*G49,G49))</f>
        <v>0</v>
      </c>
      <c r="I49" s="4"/>
      <c r="J49" s="5"/>
    </row>
    <row r="50" customFormat="false" ht="15.75" hidden="false" customHeight="true" outlineLevel="0" collapsed="false">
      <c r="B50" s="32" t="s">
        <v>76</v>
      </c>
      <c r="C50" s="32" t="s">
        <v>79</v>
      </c>
      <c r="D50" s="33"/>
      <c r="E50" s="32"/>
      <c r="F50" s="32"/>
      <c r="G50" s="34" t="n">
        <v>0</v>
      </c>
      <c r="H50" s="35" t="n">
        <f aca="false">IF(E50="",G50,IF(ISNUMBER(E50),E50*G50,G50))</f>
        <v>0</v>
      </c>
      <c r="I50" s="33"/>
      <c r="J50" s="13"/>
    </row>
    <row r="51" customFormat="false" ht="15.75" hidden="false" customHeight="true" outlineLevel="0" collapsed="false">
      <c r="B51" s="36" t="s">
        <v>76</v>
      </c>
      <c r="C51" s="36" t="s">
        <v>80</v>
      </c>
      <c r="D51" s="4"/>
      <c r="E51" s="36"/>
      <c r="F51" s="36"/>
      <c r="G51" s="37" t="n">
        <v>0</v>
      </c>
      <c r="H51" s="35" t="n">
        <f aca="false">IF(E51="",G51,IF(ISNUMBER(E51),E51*G51,G51))</f>
        <v>0</v>
      </c>
      <c r="I51" s="4"/>
      <c r="J51" s="5"/>
    </row>
    <row r="52" customFormat="false" ht="15.75" hidden="false" customHeight="true" outlineLevel="0" collapsed="false">
      <c r="B52" s="32" t="s">
        <v>76</v>
      </c>
      <c r="C52" s="32" t="s">
        <v>81</v>
      </c>
      <c r="D52" s="33"/>
      <c r="E52" s="32"/>
      <c r="F52" s="32"/>
      <c r="G52" s="34" t="n">
        <v>0</v>
      </c>
      <c r="H52" s="35" t="n">
        <f aca="false">IF(E52="",G52,IF(ISNUMBER(E52),E52*G52,G52))</f>
        <v>0</v>
      </c>
      <c r="I52" s="33"/>
      <c r="J52" s="13"/>
    </row>
    <row r="53" customFormat="false" ht="15.75" hidden="false" customHeight="true" outlineLevel="0" collapsed="false">
      <c r="B53" s="36" t="s">
        <v>76</v>
      </c>
      <c r="C53" s="36" t="s">
        <v>82</v>
      </c>
      <c r="D53" s="4"/>
      <c r="E53" s="36"/>
      <c r="F53" s="36"/>
      <c r="G53" s="37" t="n">
        <v>0</v>
      </c>
      <c r="H53" s="35" t="n">
        <f aca="false">IF(E53="",G53,IF(ISNUMBER(E53),E53*G53,G53))</f>
        <v>0</v>
      </c>
      <c r="I53" s="4"/>
      <c r="J53" s="5"/>
    </row>
    <row r="54" customFormat="false" ht="15.75" hidden="false" customHeight="true" outlineLevel="0" collapsed="false">
      <c r="B54" s="32" t="s">
        <v>76</v>
      </c>
      <c r="C54" s="32" t="s">
        <v>83</v>
      </c>
      <c r="D54" s="33"/>
      <c r="E54" s="32"/>
      <c r="F54" s="32"/>
      <c r="G54" s="34" t="n">
        <v>0</v>
      </c>
      <c r="H54" s="35" t="n">
        <f aca="false">IF(E54="",G54,IF(ISNUMBER(E54),E54*G54,G54))</f>
        <v>0</v>
      </c>
      <c r="I54" s="33"/>
      <c r="J54" s="13"/>
    </row>
    <row r="55" customFormat="false" ht="15.75" hidden="false" customHeight="true" outlineLevel="0" collapsed="false">
      <c r="B55" s="36" t="s">
        <v>76</v>
      </c>
      <c r="C55" s="36" t="s">
        <v>84</v>
      </c>
      <c r="D55" s="4"/>
      <c r="E55" s="36"/>
      <c r="F55" s="36"/>
      <c r="G55" s="37" t="n">
        <v>0</v>
      </c>
      <c r="H55" s="35" t="n">
        <f aca="false">IF(E55="",G55,IF(ISNUMBER(E55),E55*G55,G55))</f>
        <v>0</v>
      </c>
      <c r="I55" s="4"/>
      <c r="J55" s="5"/>
    </row>
    <row r="56" customFormat="false" ht="3" hidden="false" customHeight="true" outlineLevel="0" collapsed="false"/>
    <row r="57" customFormat="false" ht="16.5" hidden="false" customHeight="true" outlineLevel="0" collapsed="false">
      <c r="B57" s="30" t="s">
        <v>85</v>
      </c>
      <c r="C57" s="31"/>
      <c r="D57" s="31"/>
      <c r="E57" s="31"/>
      <c r="F57" s="31"/>
      <c r="G57" s="31"/>
      <c r="H57" s="31"/>
      <c r="I57" s="31"/>
      <c r="J57" s="31"/>
    </row>
    <row r="58" customFormat="false" ht="15.75" hidden="false" customHeight="true" outlineLevel="0" collapsed="false">
      <c r="B58" s="32" t="s">
        <v>86</v>
      </c>
      <c r="C58" s="32" t="s">
        <v>87</v>
      </c>
      <c r="D58" s="33"/>
      <c r="E58" s="32"/>
      <c r="F58" s="32"/>
      <c r="G58" s="34" t="n">
        <v>0</v>
      </c>
      <c r="H58" s="35" t="n">
        <f aca="false">IF(E58="",G58,IF(ISNUMBER(E58),E58*G58,G58))</f>
        <v>0</v>
      </c>
      <c r="I58" s="33"/>
      <c r="J58" s="13"/>
    </row>
    <row r="59" customFormat="false" ht="15.75" hidden="false" customHeight="true" outlineLevel="0" collapsed="false">
      <c r="B59" s="36" t="s">
        <v>86</v>
      </c>
      <c r="C59" s="36" t="s">
        <v>88</v>
      </c>
      <c r="D59" s="4"/>
      <c r="E59" s="36"/>
      <c r="F59" s="36"/>
      <c r="G59" s="37" t="n">
        <v>0</v>
      </c>
      <c r="H59" s="35" t="n">
        <f aca="false">IF(E59="",G59,IF(ISNUMBER(E59),E59*G59,G59))</f>
        <v>0</v>
      </c>
      <c r="I59" s="4"/>
      <c r="J59" s="5"/>
    </row>
    <row r="60" customFormat="false" ht="15.75" hidden="false" customHeight="true" outlineLevel="0" collapsed="false">
      <c r="B60" s="32" t="s">
        <v>86</v>
      </c>
      <c r="C60" s="32" t="s">
        <v>89</v>
      </c>
      <c r="D60" s="33"/>
      <c r="E60" s="32"/>
      <c r="F60" s="32"/>
      <c r="G60" s="34" t="n">
        <v>0</v>
      </c>
      <c r="H60" s="35" t="n">
        <f aca="false">IF(E60="",G60,IF(ISNUMBER(E60),E60*G60,G60))</f>
        <v>0</v>
      </c>
      <c r="I60" s="33"/>
      <c r="J60" s="13"/>
    </row>
    <row r="61" customFormat="false" ht="15.75" hidden="false" customHeight="true" outlineLevel="0" collapsed="false">
      <c r="B61" s="36" t="s">
        <v>86</v>
      </c>
      <c r="C61" s="36" t="s">
        <v>90</v>
      </c>
      <c r="D61" s="4"/>
      <c r="E61" s="36"/>
      <c r="F61" s="36"/>
      <c r="G61" s="37" t="n">
        <v>0</v>
      </c>
      <c r="H61" s="35" t="n">
        <f aca="false">IF(E61="",G61,IF(ISNUMBER(E61),E61*G61,G61))</f>
        <v>0</v>
      </c>
      <c r="I61" s="4"/>
      <c r="J61" s="5"/>
    </row>
    <row r="62" customFormat="false" ht="15.75" hidden="false" customHeight="true" outlineLevel="0" collapsed="false">
      <c r="B62" s="32" t="s">
        <v>86</v>
      </c>
      <c r="C62" s="32" t="s">
        <v>91</v>
      </c>
      <c r="D62" s="33"/>
      <c r="E62" s="32"/>
      <c r="F62" s="32"/>
      <c r="G62" s="34" t="n">
        <v>0</v>
      </c>
      <c r="H62" s="35" t="n">
        <f aca="false">IF(E62="",G62,IF(ISNUMBER(E62),E62*G62,G62))</f>
        <v>0</v>
      </c>
      <c r="I62" s="33"/>
      <c r="J62" s="13"/>
    </row>
    <row r="63" customFormat="false" ht="15.75" hidden="false" customHeight="true" outlineLevel="0" collapsed="false">
      <c r="B63" s="36" t="s">
        <v>86</v>
      </c>
      <c r="C63" s="36" t="s">
        <v>92</v>
      </c>
      <c r="D63" s="4"/>
      <c r="E63" s="36"/>
      <c r="F63" s="36"/>
      <c r="G63" s="37" t="n">
        <v>0</v>
      </c>
      <c r="H63" s="35" t="n">
        <f aca="false">IF(E63="",G63,IF(ISNUMBER(E63),E63*G63,G63))</f>
        <v>0</v>
      </c>
      <c r="I63" s="4"/>
      <c r="J63" s="5"/>
    </row>
    <row r="64" customFormat="false" ht="15.75" hidden="false" customHeight="true" outlineLevel="0" collapsed="false">
      <c r="B64" s="32" t="s">
        <v>86</v>
      </c>
      <c r="C64" s="32" t="s">
        <v>93</v>
      </c>
      <c r="D64" s="33"/>
      <c r="E64" s="32"/>
      <c r="F64" s="32"/>
      <c r="G64" s="34" t="n">
        <v>0</v>
      </c>
      <c r="H64" s="35" t="n">
        <f aca="false">IF(E64="",G64,IF(ISNUMBER(E64),E64*G64,G64))</f>
        <v>0</v>
      </c>
      <c r="I64" s="33"/>
      <c r="J64" s="13"/>
    </row>
    <row r="65" customFormat="false" ht="15.75" hidden="false" customHeight="true" outlineLevel="0" collapsed="false">
      <c r="B65" s="36" t="s">
        <v>86</v>
      </c>
      <c r="C65" s="36" t="s">
        <v>94</v>
      </c>
      <c r="D65" s="4"/>
      <c r="E65" s="36"/>
      <c r="F65" s="36"/>
      <c r="G65" s="37" t="n">
        <v>0</v>
      </c>
      <c r="H65" s="35" t="n">
        <f aca="false">IF(E65="",G65,IF(ISNUMBER(E65),E65*G65,G65))</f>
        <v>0</v>
      </c>
      <c r="I65" s="4"/>
      <c r="J65" s="5"/>
    </row>
    <row r="66" customFormat="false" ht="3" hidden="false" customHeight="true" outlineLevel="0" collapsed="false"/>
    <row r="67" customFormat="false" ht="16.5" hidden="false" customHeight="true" outlineLevel="0" collapsed="false">
      <c r="B67" s="30" t="s">
        <v>95</v>
      </c>
      <c r="C67" s="31"/>
      <c r="D67" s="31"/>
      <c r="E67" s="31"/>
      <c r="F67" s="31"/>
      <c r="G67" s="31"/>
      <c r="H67" s="31"/>
      <c r="I67" s="31"/>
      <c r="J67" s="31"/>
    </row>
    <row r="68" customFormat="false" ht="15.75" hidden="false" customHeight="true" outlineLevel="0" collapsed="false">
      <c r="B68" s="32" t="s">
        <v>96</v>
      </c>
      <c r="C68" s="32" t="s">
        <v>97</v>
      </c>
      <c r="D68" s="33"/>
      <c r="E68" s="32"/>
      <c r="F68" s="32"/>
      <c r="G68" s="34" t="n">
        <v>0</v>
      </c>
      <c r="H68" s="35" t="n">
        <f aca="false">IF(E68="",G68,IF(ISNUMBER(E68),E68*G68,G68))</f>
        <v>0</v>
      </c>
      <c r="I68" s="33"/>
      <c r="J68" s="13"/>
    </row>
    <row r="69" customFormat="false" ht="15.75" hidden="false" customHeight="true" outlineLevel="0" collapsed="false">
      <c r="B69" s="36" t="s">
        <v>96</v>
      </c>
      <c r="C69" s="36" t="s">
        <v>98</v>
      </c>
      <c r="D69" s="4"/>
      <c r="E69" s="36"/>
      <c r="F69" s="36"/>
      <c r="G69" s="37" t="n">
        <v>0</v>
      </c>
      <c r="H69" s="35" t="n">
        <f aca="false">IF(E69="",G69,IF(ISNUMBER(E69),E69*G69,G69))</f>
        <v>0</v>
      </c>
      <c r="I69" s="4"/>
      <c r="J69" s="5"/>
    </row>
    <row r="70" customFormat="false" ht="15.75" hidden="false" customHeight="true" outlineLevel="0" collapsed="false">
      <c r="B70" s="32" t="s">
        <v>96</v>
      </c>
      <c r="C70" s="32" t="s">
        <v>99</v>
      </c>
      <c r="D70" s="33"/>
      <c r="E70" s="32"/>
      <c r="F70" s="32"/>
      <c r="G70" s="34" t="n">
        <v>0</v>
      </c>
      <c r="H70" s="35" t="n">
        <f aca="false">IF(E70="",G70,IF(ISNUMBER(E70),E70*G70,G70))</f>
        <v>0</v>
      </c>
      <c r="I70" s="33"/>
      <c r="J70" s="13"/>
    </row>
    <row r="71" customFormat="false" ht="15.75" hidden="false" customHeight="true" outlineLevel="0" collapsed="false">
      <c r="B71" s="36" t="s">
        <v>96</v>
      </c>
      <c r="C71" s="36" t="s">
        <v>100</v>
      </c>
      <c r="D71" s="4"/>
      <c r="E71" s="36"/>
      <c r="F71" s="36"/>
      <c r="G71" s="37" t="n">
        <v>0</v>
      </c>
      <c r="H71" s="35" t="n">
        <f aca="false">IF(E71="",G71,IF(ISNUMBER(E71),E71*G71,G71))</f>
        <v>0</v>
      </c>
      <c r="I71" s="4"/>
      <c r="J71" s="5"/>
    </row>
    <row r="72" customFormat="false" ht="15.75" hidden="false" customHeight="true" outlineLevel="0" collapsed="false">
      <c r="B72" s="32" t="s">
        <v>96</v>
      </c>
      <c r="C72" s="32" t="s">
        <v>101</v>
      </c>
      <c r="D72" s="33"/>
      <c r="E72" s="32"/>
      <c r="F72" s="32"/>
      <c r="G72" s="34" t="n">
        <v>0</v>
      </c>
      <c r="H72" s="35" t="n">
        <f aca="false">IF(E72="",G72,IF(ISNUMBER(E72),E72*G72,G72))</f>
        <v>0</v>
      </c>
      <c r="I72" s="33"/>
      <c r="J72" s="13"/>
    </row>
    <row r="73" customFormat="false" ht="15.75" hidden="false" customHeight="true" outlineLevel="0" collapsed="false">
      <c r="B73" s="36" t="s">
        <v>96</v>
      </c>
      <c r="C73" s="36" t="s">
        <v>102</v>
      </c>
      <c r="D73" s="4"/>
      <c r="E73" s="36"/>
      <c r="F73" s="36"/>
      <c r="G73" s="37" t="n">
        <v>0</v>
      </c>
      <c r="H73" s="35" t="n">
        <f aca="false">IF(E73="",G73,IF(ISNUMBER(E73),E73*G73,G73))</f>
        <v>0</v>
      </c>
      <c r="I73" s="4"/>
      <c r="J73" s="5"/>
    </row>
    <row r="74" customFormat="false" ht="15.75" hidden="false" customHeight="true" outlineLevel="0" collapsed="false">
      <c r="B74" s="32" t="s">
        <v>96</v>
      </c>
      <c r="C74" s="32" t="s">
        <v>103</v>
      </c>
      <c r="D74" s="33"/>
      <c r="E74" s="32"/>
      <c r="F74" s="32"/>
      <c r="G74" s="34" t="n">
        <v>0</v>
      </c>
      <c r="H74" s="35" t="n">
        <f aca="false">IF(E74="",G74,IF(ISNUMBER(E74),E74*G74,G74))</f>
        <v>0</v>
      </c>
      <c r="I74" s="33"/>
      <c r="J74" s="13"/>
    </row>
    <row r="75" customFormat="false" ht="15.75" hidden="false" customHeight="true" outlineLevel="0" collapsed="false">
      <c r="B75" s="36" t="s">
        <v>96</v>
      </c>
      <c r="C75" s="36" t="s">
        <v>104</v>
      </c>
      <c r="D75" s="4"/>
      <c r="E75" s="36"/>
      <c r="F75" s="36"/>
      <c r="G75" s="37" t="n">
        <v>0</v>
      </c>
      <c r="H75" s="35" t="n">
        <f aca="false">IF(E75="",G75,IF(ISNUMBER(E75),E75*G75,G75))</f>
        <v>0</v>
      </c>
      <c r="I75" s="4"/>
      <c r="J75" s="5"/>
    </row>
    <row r="76" customFormat="false" ht="3" hidden="false" customHeight="true" outlineLevel="0" collapsed="false"/>
    <row r="77" customFormat="false" ht="16.5" hidden="false" customHeight="true" outlineLevel="0" collapsed="false">
      <c r="B77" s="30" t="s">
        <v>105</v>
      </c>
      <c r="C77" s="31"/>
      <c r="D77" s="31"/>
      <c r="E77" s="31"/>
      <c r="F77" s="31"/>
      <c r="G77" s="31"/>
      <c r="H77" s="31"/>
      <c r="I77" s="31"/>
      <c r="J77" s="31"/>
    </row>
    <row r="78" customFormat="false" ht="15.75" hidden="false" customHeight="true" outlineLevel="0" collapsed="false">
      <c r="B78" s="32" t="s">
        <v>106</v>
      </c>
      <c r="C78" s="32" t="s">
        <v>107</v>
      </c>
      <c r="D78" s="33"/>
      <c r="E78" s="32"/>
      <c r="F78" s="32"/>
      <c r="G78" s="34" t="n">
        <v>0</v>
      </c>
      <c r="H78" s="35" t="n">
        <f aca="false">IF(E78="",G78,IF(ISNUMBER(E78),E78*G78,G78))</f>
        <v>0</v>
      </c>
      <c r="I78" s="33"/>
      <c r="J78" s="13"/>
    </row>
    <row r="79" customFormat="false" ht="15.75" hidden="false" customHeight="true" outlineLevel="0" collapsed="false">
      <c r="B79" s="36" t="s">
        <v>106</v>
      </c>
      <c r="C79" s="36" t="s">
        <v>108</v>
      </c>
      <c r="D79" s="4"/>
      <c r="E79" s="36"/>
      <c r="F79" s="36"/>
      <c r="G79" s="37" t="n">
        <v>0</v>
      </c>
      <c r="H79" s="35" t="n">
        <f aca="false">IF(E79="",G79,IF(ISNUMBER(E79),E79*G79,G79))</f>
        <v>0</v>
      </c>
      <c r="I79" s="4"/>
      <c r="J79" s="5"/>
    </row>
    <row r="80" customFormat="false" ht="15.75" hidden="false" customHeight="true" outlineLevel="0" collapsed="false">
      <c r="B80" s="32" t="s">
        <v>106</v>
      </c>
      <c r="C80" s="32" t="s">
        <v>109</v>
      </c>
      <c r="D80" s="33"/>
      <c r="E80" s="32"/>
      <c r="F80" s="32"/>
      <c r="G80" s="34" t="n">
        <v>0</v>
      </c>
      <c r="H80" s="35" t="n">
        <f aca="false">IF(E80="",G80,IF(ISNUMBER(E80),E80*G80,G80))</f>
        <v>0</v>
      </c>
      <c r="I80" s="33"/>
      <c r="J80" s="13"/>
    </row>
    <row r="81" customFormat="false" ht="15.75" hidden="false" customHeight="true" outlineLevel="0" collapsed="false">
      <c r="B81" s="36" t="s">
        <v>106</v>
      </c>
      <c r="C81" s="36" t="s">
        <v>110</v>
      </c>
      <c r="D81" s="4"/>
      <c r="E81" s="36"/>
      <c r="F81" s="36"/>
      <c r="G81" s="37" t="n">
        <v>0</v>
      </c>
      <c r="H81" s="35" t="n">
        <f aca="false">IF(E81="",G81,IF(ISNUMBER(E81),E81*G81,G81))</f>
        <v>0</v>
      </c>
      <c r="I81" s="4"/>
      <c r="J81" s="5"/>
    </row>
    <row r="82" customFormat="false" ht="15.75" hidden="false" customHeight="true" outlineLevel="0" collapsed="false">
      <c r="B82" s="32" t="s">
        <v>106</v>
      </c>
      <c r="C82" s="32" t="s">
        <v>111</v>
      </c>
      <c r="D82" s="33"/>
      <c r="E82" s="32"/>
      <c r="F82" s="32"/>
      <c r="G82" s="34" t="n">
        <v>0</v>
      </c>
      <c r="H82" s="35" t="n">
        <f aca="false">IF(E82="",G82,IF(ISNUMBER(E82),E82*G82,G82))</f>
        <v>0</v>
      </c>
      <c r="I82" s="33"/>
      <c r="J82" s="13"/>
    </row>
    <row r="83" customFormat="false" ht="15.75" hidden="false" customHeight="true" outlineLevel="0" collapsed="false">
      <c r="B83" s="36" t="s">
        <v>106</v>
      </c>
      <c r="C83" s="36" t="s">
        <v>112</v>
      </c>
      <c r="D83" s="4"/>
      <c r="E83" s="36"/>
      <c r="F83" s="36"/>
      <c r="G83" s="37" t="n">
        <v>0</v>
      </c>
      <c r="H83" s="35" t="n">
        <f aca="false">IF(E83="",G83,IF(ISNUMBER(E83),E83*G83,G83))</f>
        <v>0</v>
      </c>
      <c r="I83" s="4"/>
      <c r="J83" s="5"/>
    </row>
    <row r="84" customFormat="false" ht="15.75" hidden="false" customHeight="true" outlineLevel="0" collapsed="false">
      <c r="B84" s="32" t="s">
        <v>106</v>
      </c>
      <c r="C84" s="32" t="s">
        <v>113</v>
      </c>
      <c r="D84" s="33"/>
      <c r="E84" s="32"/>
      <c r="F84" s="32"/>
      <c r="G84" s="34" t="n">
        <v>0</v>
      </c>
      <c r="H84" s="35" t="n">
        <f aca="false">IF(E84="",G84,IF(ISNUMBER(E84),E84*G84,G84))</f>
        <v>0</v>
      </c>
      <c r="I84" s="33"/>
      <c r="J84" s="13"/>
    </row>
    <row r="85" customFormat="false" ht="15.75" hidden="false" customHeight="true" outlineLevel="0" collapsed="false">
      <c r="B85" s="36" t="s">
        <v>106</v>
      </c>
      <c r="C85" s="36" t="s">
        <v>114</v>
      </c>
      <c r="D85" s="4"/>
      <c r="E85" s="36"/>
      <c r="F85" s="36"/>
      <c r="G85" s="37" t="n">
        <v>0</v>
      </c>
      <c r="H85" s="35" t="n">
        <f aca="false">IF(E85="",G85,IF(ISNUMBER(E85),E85*G85,G85))</f>
        <v>0</v>
      </c>
      <c r="I85" s="4"/>
      <c r="J85" s="5"/>
    </row>
    <row r="86" customFormat="false" ht="3" hidden="false" customHeight="true" outlineLevel="0" collapsed="false"/>
    <row r="87" customFormat="false" ht="16.5" hidden="false" customHeight="true" outlineLevel="0" collapsed="false">
      <c r="B87" s="30" t="s">
        <v>115</v>
      </c>
      <c r="C87" s="31"/>
      <c r="D87" s="31"/>
      <c r="E87" s="31"/>
      <c r="F87" s="31"/>
      <c r="G87" s="31"/>
      <c r="H87" s="31"/>
      <c r="I87" s="31"/>
      <c r="J87" s="31"/>
    </row>
    <row r="88" customFormat="false" ht="15.75" hidden="false" customHeight="true" outlineLevel="0" collapsed="false">
      <c r="B88" s="32" t="s">
        <v>116</v>
      </c>
      <c r="C88" s="32" t="s">
        <v>117</v>
      </c>
      <c r="D88" s="33"/>
      <c r="E88" s="32"/>
      <c r="F88" s="32"/>
      <c r="G88" s="34" t="n">
        <v>0</v>
      </c>
      <c r="H88" s="35" t="n">
        <f aca="false">IF(E88="",G88,IF(ISNUMBER(E88),E88*G88,G88))</f>
        <v>0</v>
      </c>
      <c r="I88" s="33"/>
      <c r="J88" s="13"/>
    </row>
    <row r="89" customFormat="false" ht="15.75" hidden="false" customHeight="true" outlineLevel="0" collapsed="false">
      <c r="B89" s="36" t="s">
        <v>116</v>
      </c>
      <c r="C89" s="36" t="s">
        <v>118</v>
      </c>
      <c r="D89" s="4"/>
      <c r="E89" s="36"/>
      <c r="F89" s="36"/>
      <c r="G89" s="37" t="n">
        <v>0</v>
      </c>
      <c r="H89" s="35" t="n">
        <f aca="false">IF(E89="",G89,IF(ISNUMBER(E89),E89*G89,G89))</f>
        <v>0</v>
      </c>
      <c r="I89" s="4"/>
      <c r="J89" s="5"/>
    </row>
    <row r="90" customFormat="false" ht="15.75" hidden="false" customHeight="true" outlineLevel="0" collapsed="false">
      <c r="B90" s="32" t="s">
        <v>116</v>
      </c>
      <c r="C90" s="32" t="s">
        <v>119</v>
      </c>
      <c r="D90" s="33"/>
      <c r="E90" s="32"/>
      <c r="F90" s="32"/>
      <c r="G90" s="34" t="n">
        <v>0</v>
      </c>
      <c r="H90" s="35" t="n">
        <f aca="false">IF(E90="",G90,IF(ISNUMBER(E90),E90*G90,G90))</f>
        <v>0</v>
      </c>
      <c r="I90" s="33"/>
      <c r="J90" s="13"/>
    </row>
    <row r="91" customFormat="false" ht="15.75" hidden="false" customHeight="true" outlineLevel="0" collapsed="false">
      <c r="B91" s="36" t="s">
        <v>116</v>
      </c>
      <c r="C91" s="36" t="s">
        <v>120</v>
      </c>
      <c r="D91" s="4"/>
      <c r="E91" s="36"/>
      <c r="F91" s="36"/>
      <c r="G91" s="37" t="n">
        <v>0</v>
      </c>
      <c r="H91" s="35" t="n">
        <f aca="false">IF(E91="",G91,IF(ISNUMBER(E91),E91*G91,G91))</f>
        <v>0</v>
      </c>
      <c r="I91" s="4"/>
      <c r="J91" s="5"/>
    </row>
    <row r="92" customFormat="false" ht="15.75" hidden="false" customHeight="true" outlineLevel="0" collapsed="false">
      <c r="B92" s="32" t="s">
        <v>116</v>
      </c>
      <c r="C92" s="32" t="s">
        <v>121</v>
      </c>
      <c r="D92" s="33"/>
      <c r="E92" s="32"/>
      <c r="F92" s="32"/>
      <c r="G92" s="34" t="n">
        <v>0</v>
      </c>
      <c r="H92" s="35" t="n">
        <f aca="false">IF(E92="",G92,IF(ISNUMBER(E92),E92*G92,G92))</f>
        <v>0</v>
      </c>
      <c r="I92" s="33"/>
      <c r="J92" s="13"/>
    </row>
    <row r="93" customFormat="false" ht="15.75" hidden="false" customHeight="true" outlineLevel="0" collapsed="false">
      <c r="B93" s="36" t="s">
        <v>116</v>
      </c>
      <c r="C93" s="36" t="s">
        <v>122</v>
      </c>
      <c r="D93" s="4"/>
      <c r="E93" s="36"/>
      <c r="F93" s="36"/>
      <c r="G93" s="37" t="n">
        <v>0</v>
      </c>
      <c r="H93" s="35" t="n">
        <f aca="false">IF(E93="",G93,IF(ISNUMBER(E93),E93*G93,G93))</f>
        <v>0</v>
      </c>
      <c r="I93" s="4"/>
      <c r="J93" s="5"/>
    </row>
    <row r="94" customFormat="false" ht="15.75" hidden="false" customHeight="true" outlineLevel="0" collapsed="false">
      <c r="B94" s="32" t="s">
        <v>116</v>
      </c>
      <c r="C94" s="32" t="s">
        <v>123</v>
      </c>
      <c r="D94" s="33"/>
      <c r="E94" s="32"/>
      <c r="F94" s="32"/>
      <c r="G94" s="34" t="n">
        <v>0</v>
      </c>
      <c r="H94" s="35" t="n">
        <f aca="false">IF(E94="",G94,IF(ISNUMBER(E94),E94*G94,G94))</f>
        <v>0</v>
      </c>
      <c r="I94" s="33"/>
      <c r="J94" s="13"/>
    </row>
    <row r="95" customFormat="false" ht="15.75" hidden="false" customHeight="true" outlineLevel="0" collapsed="false">
      <c r="B95" s="36" t="s">
        <v>116</v>
      </c>
      <c r="C95" s="36" t="s">
        <v>124</v>
      </c>
      <c r="D95" s="4"/>
      <c r="E95" s="36"/>
      <c r="F95" s="36"/>
      <c r="G95" s="37" t="n">
        <v>0</v>
      </c>
      <c r="H95" s="35" t="n">
        <f aca="false">IF(E95="",G95,IF(ISNUMBER(E95),E95*G95,G95))</f>
        <v>0</v>
      </c>
      <c r="I95" s="4"/>
      <c r="J95" s="5"/>
    </row>
    <row r="96" customFormat="false" ht="3" hidden="false" customHeight="true" outlineLevel="0" collapsed="false"/>
    <row r="97" customFormat="false" ht="16.5" hidden="false" customHeight="true" outlineLevel="0" collapsed="false">
      <c r="B97" s="30" t="s">
        <v>125</v>
      </c>
      <c r="C97" s="31"/>
      <c r="D97" s="31"/>
      <c r="E97" s="31"/>
      <c r="F97" s="31"/>
      <c r="G97" s="31"/>
      <c r="H97" s="31"/>
      <c r="I97" s="31"/>
      <c r="J97" s="31"/>
    </row>
    <row r="98" customFormat="false" ht="15.75" hidden="false" customHeight="true" outlineLevel="0" collapsed="false">
      <c r="B98" s="32" t="s">
        <v>126</v>
      </c>
      <c r="C98" s="32" t="s">
        <v>127</v>
      </c>
      <c r="D98" s="33"/>
      <c r="E98" s="32"/>
      <c r="F98" s="32"/>
      <c r="G98" s="34" t="n">
        <v>0</v>
      </c>
      <c r="H98" s="35" t="n">
        <f aca="false">IF(E98="",G98,IF(ISNUMBER(E98),E98*G98,G98))</f>
        <v>0</v>
      </c>
      <c r="I98" s="33"/>
      <c r="J98" s="13"/>
    </row>
    <row r="99" customFormat="false" ht="15.75" hidden="false" customHeight="true" outlineLevel="0" collapsed="false">
      <c r="B99" s="36" t="s">
        <v>126</v>
      </c>
      <c r="C99" s="36" t="s">
        <v>128</v>
      </c>
      <c r="D99" s="4"/>
      <c r="E99" s="36"/>
      <c r="F99" s="36"/>
      <c r="G99" s="37" t="n">
        <v>0</v>
      </c>
      <c r="H99" s="35" t="n">
        <f aca="false">IF(E99="",G99,IF(ISNUMBER(E99),E99*G99,G99))</f>
        <v>0</v>
      </c>
      <c r="I99" s="4"/>
      <c r="J99" s="5"/>
    </row>
    <row r="100" customFormat="false" ht="15.75" hidden="false" customHeight="true" outlineLevel="0" collapsed="false">
      <c r="B100" s="32" t="s">
        <v>126</v>
      </c>
      <c r="C100" s="32" t="s">
        <v>129</v>
      </c>
      <c r="D100" s="33"/>
      <c r="E100" s="32"/>
      <c r="F100" s="32"/>
      <c r="G100" s="34" t="n">
        <v>0</v>
      </c>
      <c r="H100" s="35" t="n">
        <f aca="false">IF(E100="",G100,IF(ISNUMBER(E100),E100*G100,G100))</f>
        <v>0</v>
      </c>
      <c r="I100" s="33"/>
      <c r="J100" s="13"/>
    </row>
    <row r="101" customFormat="false" ht="15.75" hidden="false" customHeight="true" outlineLevel="0" collapsed="false">
      <c r="B101" s="36" t="s">
        <v>126</v>
      </c>
      <c r="C101" s="36" t="s">
        <v>130</v>
      </c>
      <c r="D101" s="4"/>
      <c r="E101" s="36"/>
      <c r="F101" s="36"/>
      <c r="G101" s="37" t="n">
        <v>0</v>
      </c>
      <c r="H101" s="35" t="n">
        <f aca="false">IF(E101="",G101,IF(ISNUMBER(E101),E101*G101,G101))</f>
        <v>0</v>
      </c>
      <c r="I101" s="4"/>
      <c r="J101" s="5"/>
    </row>
    <row r="102" customFormat="false" ht="15.75" hidden="false" customHeight="true" outlineLevel="0" collapsed="false">
      <c r="B102" s="32" t="s">
        <v>126</v>
      </c>
      <c r="C102" s="32" t="s">
        <v>131</v>
      </c>
      <c r="D102" s="33"/>
      <c r="E102" s="32"/>
      <c r="F102" s="32"/>
      <c r="G102" s="34" t="n">
        <v>0</v>
      </c>
      <c r="H102" s="35" t="n">
        <f aca="false">IF(E102="",G102,IF(ISNUMBER(E102),E102*G102,G102))</f>
        <v>0</v>
      </c>
      <c r="I102" s="33"/>
      <c r="J102" s="13"/>
    </row>
    <row r="103" customFormat="false" ht="15.75" hidden="false" customHeight="true" outlineLevel="0" collapsed="false">
      <c r="B103" s="36" t="s">
        <v>126</v>
      </c>
      <c r="C103" s="36" t="s">
        <v>132</v>
      </c>
      <c r="D103" s="4"/>
      <c r="E103" s="36"/>
      <c r="F103" s="36"/>
      <c r="G103" s="37" t="n">
        <v>0</v>
      </c>
      <c r="H103" s="35" t="n">
        <f aca="false">IF(E103="",G103,IF(ISNUMBER(E103),E103*G103,G103))</f>
        <v>0</v>
      </c>
      <c r="I103" s="4"/>
      <c r="J103" s="5"/>
    </row>
    <row r="104" customFormat="false" ht="15.75" hidden="false" customHeight="true" outlineLevel="0" collapsed="false">
      <c r="B104" s="32" t="s">
        <v>126</v>
      </c>
      <c r="C104" s="32" t="s">
        <v>133</v>
      </c>
      <c r="D104" s="33"/>
      <c r="E104" s="32"/>
      <c r="F104" s="32"/>
      <c r="G104" s="34" t="n">
        <v>0</v>
      </c>
      <c r="H104" s="35" t="n">
        <f aca="false">IF(E104="",G104,IF(ISNUMBER(E104),E104*G104,G104))</f>
        <v>0</v>
      </c>
      <c r="I104" s="33"/>
      <c r="J104" s="13"/>
    </row>
    <row r="105" customFormat="false" ht="15.75" hidden="false" customHeight="true" outlineLevel="0" collapsed="false">
      <c r="B105" s="36" t="s">
        <v>126</v>
      </c>
      <c r="C105" s="36" t="s">
        <v>134</v>
      </c>
      <c r="D105" s="4"/>
      <c r="E105" s="36"/>
      <c r="F105" s="36"/>
      <c r="G105" s="37" t="n">
        <v>0</v>
      </c>
      <c r="H105" s="35" t="n">
        <f aca="false">IF(E105="",G105,IF(ISNUMBER(E105),E105*G105,G105))</f>
        <v>0</v>
      </c>
      <c r="I105" s="4"/>
      <c r="J105" s="5"/>
    </row>
    <row r="106" customFormat="false" ht="3" hidden="false" customHeight="true" outlineLevel="0" collapsed="false"/>
    <row r="107" customFormat="false" ht="16.5" hidden="false" customHeight="true" outlineLevel="0" collapsed="false">
      <c r="B107" s="30" t="s">
        <v>135</v>
      </c>
      <c r="C107" s="31"/>
      <c r="D107" s="31"/>
      <c r="E107" s="31"/>
      <c r="F107" s="31"/>
      <c r="G107" s="31"/>
      <c r="H107" s="31"/>
      <c r="I107" s="31"/>
      <c r="J107" s="31"/>
    </row>
    <row r="108" customFormat="false" ht="15.75" hidden="false" customHeight="true" outlineLevel="0" collapsed="false">
      <c r="B108" s="32" t="s">
        <v>136</v>
      </c>
      <c r="C108" s="32" t="s">
        <v>137</v>
      </c>
      <c r="D108" s="33"/>
      <c r="E108" s="32"/>
      <c r="F108" s="32"/>
      <c r="G108" s="34" t="n">
        <v>0</v>
      </c>
      <c r="H108" s="35" t="n">
        <f aca="false">IF(E108="",G108,IF(ISNUMBER(E108),E108*G108,G108))</f>
        <v>0</v>
      </c>
      <c r="I108" s="33"/>
      <c r="J108" s="13"/>
    </row>
    <row r="109" customFormat="false" ht="15.75" hidden="false" customHeight="true" outlineLevel="0" collapsed="false">
      <c r="B109" s="36" t="s">
        <v>136</v>
      </c>
      <c r="C109" s="36" t="s">
        <v>138</v>
      </c>
      <c r="D109" s="4"/>
      <c r="E109" s="36"/>
      <c r="F109" s="36"/>
      <c r="G109" s="37" t="n">
        <v>0</v>
      </c>
      <c r="H109" s="35" t="n">
        <f aca="false">IF(E109="",G109,IF(ISNUMBER(E109),E109*G109,G109))</f>
        <v>0</v>
      </c>
      <c r="I109" s="4"/>
      <c r="J109" s="5"/>
    </row>
    <row r="110" customFormat="false" ht="15.75" hidden="false" customHeight="true" outlineLevel="0" collapsed="false">
      <c r="B110" s="32" t="s">
        <v>136</v>
      </c>
      <c r="C110" s="32" t="s">
        <v>139</v>
      </c>
      <c r="D110" s="33"/>
      <c r="E110" s="32"/>
      <c r="F110" s="32"/>
      <c r="G110" s="34" t="n">
        <v>0</v>
      </c>
      <c r="H110" s="35" t="n">
        <f aca="false">IF(E110="",G110,IF(ISNUMBER(E110),E110*G110,G110))</f>
        <v>0</v>
      </c>
      <c r="I110" s="33"/>
      <c r="J110" s="13"/>
    </row>
    <row r="111" customFormat="false" ht="15.75" hidden="false" customHeight="true" outlineLevel="0" collapsed="false">
      <c r="B111" s="36" t="s">
        <v>136</v>
      </c>
      <c r="C111" s="36" t="s">
        <v>140</v>
      </c>
      <c r="D111" s="4"/>
      <c r="E111" s="36"/>
      <c r="F111" s="36"/>
      <c r="G111" s="37" t="n">
        <v>0</v>
      </c>
      <c r="H111" s="35" t="n">
        <f aca="false">IF(E111="",G111,IF(ISNUMBER(E111),E111*G111,G111))</f>
        <v>0</v>
      </c>
      <c r="I111" s="4"/>
      <c r="J111" s="5"/>
    </row>
    <row r="112" customFormat="false" ht="15.75" hidden="false" customHeight="true" outlineLevel="0" collapsed="false">
      <c r="B112" s="32" t="s">
        <v>136</v>
      </c>
      <c r="C112" s="32" t="s">
        <v>141</v>
      </c>
      <c r="D112" s="33"/>
      <c r="E112" s="32"/>
      <c r="F112" s="32"/>
      <c r="G112" s="34" t="n">
        <v>0</v>
      </c>
      <c r="H112" s="35" t="n">
        <f aca="false">IF(E112="",G112,IF(ISNUMBER(E112),E112*G112,G112))</f>
        <v>0</v>
      </c>
      <c r="I112" s="33"/>
      <c r="J112" s="13"/>
    </row>
    <row r="113" customFormat="false" ht="15.75" hidden="false" customHeight="true" outlineLevel="0" collapsed="false">
      <c r="B113" s="36" t="s">
        <v>136</v>
      </c>
      <c r="C113" s="36" t="s">
        <v>142</v>
      </c>
      <c r="D113" s="4"/>
      <c r="E113" s="36"/>
      <c r="F113" s="36"/>
      <c r="G113" s="37" t="n">
        <v>0</v>
      </c>
      <c r="H113" s="35" t="n">
        <f aca="false">IF(E113="",G113,IF(ISNUMBER(E113),E113*G113,G113))</f>
        <v>0</v>
      </c>
      <c r="I113" s="4"/>
      <c r="J113" s="5"/>
    </row>
    <row r="114" customFormat="false" ht="15.75" hidden="false" customHeight="true" outlineLevel="0" collapsed="false">
      <c r="B114" s="32" t="s">
        <v>136</v>
      </c>
      <c r="C114" s="32" t="s">
        <v>143</v>
      </c>
      <c r="D114" s="33"/>
      <c r="E114" s="32"/>
      <c r="F114" s="32"/>
      <c r="G114" s="34" t="n">
        <v>0</v>
      </c>
      <c r="H114" s="35" t="n">
        <f aca="false">IF(E114="",G114,IF(ISNUMBER(E114),E114*G114,G114))</f>
        <v>0</v>
      </c>
      <c r="I114" s="33"/>
      <c r="J114" s="13"/>
    </row>
    <row r="115" customFormat="false" ht="15.75" hidden="false" customHeight="true" outlineLevel="0" collapsed="false">
      <c r="B115" s="36" t="s">
        <v>136</v>
      </c>
      <c r="C115" s="36" t="s">
        <v>144</v>
      </c>
      <c r="D115" s="4"/>
      <c r="E115" s="36"/>
      <c r="F115" s="36"/>
      <c r="G115" s="37" t="n">
        <v>0</v>
      </c>
      <c r="H115" s="35" t="n">
        <f aca="false">IF(E115="",G115,IF(ISNUMBER(E115),E115*G115,G115))</f>
        <v>0</v>
      </c>
      <c r="I115" s="4"/>
      <c r="J115" s="5"/>
    </row>
    <row r="116" customFormat="false" ht="3" hidden="false" customHeight="true" outlineLevel="0" collapsed="false"/>
    <row r="117" customFormat="false" ht="16.5" hidden="false" customHeight="true" outlineLevel="0" collapsed="false">
      <c r="B117" s="30" t="s">
        <v>145</v>
      </c>
      <c r="C117" s="31"/>
      <c r="D117" s="31"/>
      <c r="E117" s="31"/>
      <c r="F117" s="31"/>
      <c r="G117" s="31"/>
      <c r="H117" s="31"/>
      <c r="I117" s="31"/>
      <c r="J117" s="31"/>
    </row>
    <row r="118" customFormat="false" ht="15.75" hidden="false" customHeight="true" outlineLevel="0" collapsed="false">
      <c r="B118" s="32" t="s">
        <v>146</v>
      </c>
      <c r="C118" s="32" t="s">
        <v>147</v>
      </c>
      <c r="D118" s="33"/>
      <c r="E118" s="32"/>
      <c r="F118" s="32"/>
      <c r="G118" s="34" t="n">
        <v>0</v>
      </c>
      <c r="H118" s="35" t="n">
        <f aca="false">IF(E118="",G118,IF(ISNUMBER(E118),E118*G118,G118))</f>
        <v>0</v>
      </c>
      <c r="I118" s="33"/>
      <c r="J118" s="13"/>
    </row>
    <row r="119" customFormat="false" ht="15.75" hidden="false" customHeight="true" outlineLevel="0" collapsed="false">
      <c r="B119" s="36" t="s">
        <v>146</v>
      </c>
      <c r="C119" s="36" t="s">
        <v>148</v>
      </c>
      <c r="D119" s="4"/>
      <c r="E119" s="36"/>
      <c r="F119" s="36"/>
      <c r="G119" s="37" t="n">
        <v>0</v>
      </c>
      <c r="H119" s="35" t="n">
        <f aca="false">IF(E119="",G119,IF(ISNUMBER(E119),E119*G119,G119))</f>
        <v>0</v>
      </c>
      <c r="I119" s="4"/>
      <c r="J119" s="5"/>
    </row>
    <row r="120" customFormat="false" ht="15.75" hidden="false" customHeight="true" outlineLevel="0" collapsed="false">
      <c r="B120" s="32" t="s">
        <v>146</v>
      </c>
      <c r="C120" s="32" t="s">
        <v>149</v>
      </c>
      <c r="D120" s="33"/>
      <c r="E120" s="32"/>
      <c r="F120" s="32"/>
      <c r="G120" s="34" t="n">
        <v>0</v>
      </c>
      <c r="H120" s="35" t="n">
        <f aca="false">IF(E120="",G120,IF(ISNUMBER(E120),E120*G120,G120))</f>
        <v>0</v>
      </c>
      <c r="I120" s="33"/>
      <c r="J120" s="13"/>
    </row>
    <row r="121" customFormat="false" ht="15.75" hidden="false" customHeight="true" outlineLevel="0" collapsed="false">
      <c r="B121" s="36" t="s">
        <v>146</v>
      </c>
      <c r="C121" s="36" t="s">
        <v>150</v>
      </c>
      <c r="D121" s="4"/>
      <c r="E121" s="36"/>
      <c r="F121" s="36"/>
      <c r="G121" s="37" t="n">
        <v>0</v>
      </c>
      <c r="H121" s="35" t="n">
        <f aca="false">IF(E121="",G121,IF(ISNUMBER(E121),E121*G121,G121))</f>
        <v>0</v>
      </c>
      <c r="I121" s="4"/>
      <c r="J121" s="5"/>
    </row>
    <row r="122" customFormat="false" ht="15.75" hidden="false" customHeight="true" outlineLevel="0" collapsed="false">
      <c r="B122" s="32" t="s">
        <v>146</v>
      </c>
      <c r="C122" s="32" t="s">
        <v>151</v>
      </c>
      <c r="D122" s="33"/>
      <c r="E122" s="32"/>
      <c r="F122" s="32"/>
      <c r="G122" s="34" t="n">
        <v>0</v>
      </c>
      <c r="H122" s="35" t="n">
        <f aca="false">IF(E122="",G122,IF(ISNUMBER(E122),E122*G122,G122))</f>
        <v>0</v>
      </c>
      <c r="I122" s="33"/>
      <c r="J122" s="13"/>
    </row>
    <row r="123" customFormat="false" ht="15.75" hidden="false" customHeight="true" outlineLevel="0" collapsed="false">
      <c r="B123" s="36" t="s">
        <v>146</v>
      </c>
      <c r="C123" s="36" t="s">
        <v>152</v>
      </c>
      <c r="D123" s="4"/>
      <c r="E123" s="36"/>
      <c r="F123" s="36"/>
      <c r="G123" s="37" t="n">
        <v>0</v>
      </c>
      <c r="H123" s="35" t="n">
        <f aca="false">IF(E123="",G123,IF(ISNUMBER(E123),E123*G123,G123))</f>
        <v>0</v>
      </c>
      <c r="I123" s="4"/>
      <c r="J123" s="5"/>
    </row>
    <row r="124" customFormat="false" ht="15.75" hidden="false" customHeight="true" outlineLevel="0" collapsed="false">
      <c r="B124" s="32" t="s">
        <v>146</v>
      </c>
      <c r="C124" s="32" t="s">
        <v>153</v>
      </c>
      <c r="D124" s="33"/>
      <c r="E124" s="32"/>
      <c r="F124" s="32"/>
      <c r="G124" s="34" t="n">
        <v>0</v>
      </c>
      <c r="H124" s="35" t="n">
        <f aca="false">IF(E124="",G124,IF(ISNUMBER(E124),E124*G124,G124))</f>
        <v>0</v>
      </c>
      <c r="I124" s="33"/>
      <c r="J124" s="13"/>
    </row>
    <row r="125" customFormat="false" ht="15.75" hidden="false" customHeight="true" outlineLevel="0" collapsed="false">
      <c r="B125" s="36" t="s">
        <v>146</v>
      </c>
      <c r="C125" s="36" t="s">
        <v>154</v>
      </c>
      <c r="D125" s="4"/>
      <c r="E125" s="36"/>
      <c r="F125" s="36"/>
      <c r="G125" s="37" t="n">
        <v>0</v>
      </c>
      <c r="H125" s="35" t="n">
        <f aca="false">IF(E125="",G125,IF(ISNUMBER(E125),E125*G125,G125))</f>
        <v>0</v>
      </c>
      <c r="I125" s="4"/>
      <c r="J125" s="5"/>
    </row>
    <row r="126" customFormat="false" ht="3" hidden="false" customHeight="true" outlineLevel="0" collapsed="false"/>
    <row r="127" customFormat="false" ht="16.5" hidden="false" customHeight="true" outlineLevel="0" collapsed="false">
      <c r="B127" s="30" t="s">
        <v>155</v>
      </c>
      <c r="C127" s="31"/>
      <c r="D127" s="31"/>
      <c r="E127" s="31"/>
      <c r="F127" s="31"/>
      <c r="G127" s="31"/>
      <c r="H127" s="31"/>
      <c r="I127" s="31"/>
      <c r="J127" s="31"/>
    </row>
    <row r="128" customFormat="false" ht="15.75" hidden="false" customHeight="true" outlineLevel="0" collapsed="false">
      <c r="B128" s="32" t="s">
        <v>156</v>
      </c>
      <c r="C128" s="32" t="s">
        <v>157</v>
      </c>
      <c r="D128" s="33"/>
      <c r="E128" s="32"/>
      <c r="F128" s="32"/>
      <c r="G128" s="34" t="n">
        <v>0</v>
      </c>
      <c r="H128" s="35" t="n">
        <f aca="false">IF(E128="",G128,IF(ISNUMBER(E128),E128*G128,G128))</f>
        <v>0</v>
      </c>
      <c r="I128" s="33"/>
      <c r="J128" s="13"/>
    </row>
    <row r="129" customFormat="false" ht="15.75" hidden="false" customHeight="true" outlineLevel="0" collapsed="false">
      <c r="B129" s="36" t="s">
        <v>156</v>
      </c>
      <c r="C129" s="36" t="s">
        <v>158</v>
      </c>
      <c r="D129" s="4"/>
      <c r="E129" s="36"/>
      <c r="F129" s="36"/>
      <c r="G129" s="37" t="n">
        <v>0</v>
      </c>
      <c r="H129" s="35" t="n">
        <f aca="false">IF(E129="",G129,IF(ISNUMBER(E129),E129*G129,G129))</f>
        <v>0</v>
      </c>
      <c r="I129" s="4"/>
      <c r="J129" s="5"/>
    </row>
    <row r="130" customFormat="false" ht="15.75" hidden="false" customHeight="true" outlineLevel="0" collapsed="false">
      <c r="B130" s="32" t="s">
        <v>156</v>
      </c>
      <c r="C130" s="32" t="s">
        <v>159</v>
      </c>
      <c r="D130" s="33"/>
      <c r="E130" s="32"/>
      <c r="F130" s="32"/>
      <c r="G130" s="34" t="n">
        <v>0</v>
      </c>
      <c r="H130" s="35" t="n">
        <f aca="false">IF(E130="",G130,IF(ISNUMBER(E130),E130*G130,G130))</f>
        <v>0</v>
      </c>
      <c r="I130" s="33"/>
      <c r="J130" s="13"/>
    </row>
    <row r="131" customFormat="false" ht="15.75" hidden="false" customHeight="true" outlineLevel="0" collapsed="false">
      <c r="B131" s="36" t="s">
        <v>156</v>
      </c>
      <c r="C131" s="36" t="s">
        <v>160</v>
      </c>
      <c r="D131" s="4"/>
      <c r="E131" s="36"/>
      <c r="F131" s="36"/>
      <c r="G131" s="37" t="n">
        <v>0</v>
      </c>
      <c r="H131" s="35" t="n">
        <f aca="false">IF(E131="",G131,IF(ISNUMBER(E131),E131*G131,G131))</f>
        <v>0</v>
      </c>
      <c r="I131" s="4"/>
      <c r="J131" s="5"/>
    </row>
    <row r="132" customFormat="false" ht="15.75" hidden="false" customHeight="true" outlineLevel="0" collapsed="false">
      <c r="B132" s="32" t="s">
        <v>156</v>
      </c>
      <c r="C132" s="32" t="s">
        <v>161</v>
      </c>
      <c r="D132" s="33"/>
      <c r="E132" s="32"/>
      <c r="F132" s="32"/>
      <c r="G132" s="34" t="n">
        <v>0</v>
      </c>
      <c r="H132" s="35" t="n">
        <f aca="false">IF(E132="",G132,IF(ISNUMBER(E132),E132*G132,G132))</f>
        <v>0</v>
      </c>
      <c r="I132" s="33"/>
      <c r="J132" s="13"/>
    </row>
    <row r="133" customFormat="false" ht="15.75" hidden="false" customHeight="true" outlineLevel="0" collapsed="false">
      <c r="B133" s="36" t="s">
        <v>156</v>
      </c>
      <c r="C133" s="36" t="s">
        <v>162</v>
      </c>
      <c r="D133" s="4"/>
      <c r="E133" s="36"/>
      <c r="F133" s="36"/>
      <c r="G133" s="37" t="n">
        <v>0</v>
      </c>
      <c r="H133" s="35" t="n">
        <f aca="false">IF(E133="",G133,IF(ISNUMBER(E133),E133*G133,G133))</f>
        <v>0</v>
      </c>
      <c r="I133" s="4"/>
      <c r="J133" s="5"/>
    </row>
    <row r="134" customFormat="false" ht="15.75" hidden="false" customHeight="true" outlineLevel="0" collapsed="false">
      <c r="B134" s="32" t="s">
        <v>156</v>
      </c>
      <c r="C134" s="32" t="s">
        <v>163</v>
      </c>
      <c r="D134" s="33"/>
      <c r="E134" s="32"/>
      <c r="F134" s="32"/>
      <c r="G134" s="34" t="n">
        <v>0</v>
      </c>
      <c r="H134" s="35" t="n">
        <f aca="false">IF(E134="",G134,IF(ISNUMBER(E134),E134*G134,G134))</f>
        <v>0</v>
      </c>
      <c r="I134" s="33"/>
      <c r="J134" s="13"/>
    </row>
    <row r="135" customFormat="false" ht="15.75" hidden="false" customHeight="true" outlineLevel="0" collapsed="false">
      <c r="B135" s="36" t="s">
        <v>156</v>
      </c>
      <c r="C135" s="36" t="s">
        <v>164</v>
      </c>
      <c r="D135" s="4"/>
      <c r="E135" s="36"/>
      <c r="F135" s="36"/>
      <c r="G135" s="37" t="n">
        <v>0</v>
      </c>
      <c r="H135" s="35" t="n">
        <f aca="false">IF(E135="",G135,IF(ISNUMBER(E135),E135*G135,G135))</f>
        <v>0</v>
      </c>
      <c r="I135" s="4"/>
      <c r="J135" s="5"/>
    </row>
    <row r="136" customFormat="false" ht="3" hidden="false" customHeight="true" outlineLevel="0" collapsed="false"/>
    <row r="137" customFormat="false" ht="16.5" hidden="false" customHeight="true" outlineLevel="0" collapsed="false">
      <c r="B137" s="30" t="s">
        <v>165</v>
      </c>
      <c r="C137" s="31"/>
      <c r="D137" s="31"/>
      <c r="E137" s="31"/>
      <c r="F137" s="31"/>
      <c r="G137" s="31"/>
      <c r="H137" s="31"/>
      <c r="I137" s="31"/>
      <c r="J137" s="31"/>
    </row>
    <row r="138" customFormat="false" ht="15.75" hidden="false" customHeight="true" outlineLevel="0" collapsed="false">
      <c r="B138" s="32" t="s">
        <v>166</v>
      </c>
      <c r="C138" s="32" t="s">
        <v>167</v>
      </c>
      <c r="D138" s="33"/>
      <c r="E138" s="32"/>
      <c r="F138" s="32"/>
      <c r="G138" s="34" t="n">
        <v>0</v>
      </c>
      <c r="H138" s="35" t="n">
        <f aca="false">IF(E138="",G138,IF(ISNUMBER(E138),E138*G138,G138))</f>
        <v>0</v>
      </c>
      <c r="I138" s="33"/>
      <c r="J138" s="13"/>
    </row>
    <row r="139" customFormat="false" ht="15.75" hidden="false" customHeight="true" outlineLevel="0" collapsed="false">
      <c r="B139" s="36" t="s">
        <v>166</v>
      </c>
      <c r="C139" s="36" t="s">
        <v>168</v>
      </c>
      <c r="D139" s="4"/>
      <c r="E139" s="36"/>
      <c r="F139" s="36"/>
      <c r="G139" s="37" t="n">
        <v>0</v>
      </c>
      <c r="H139" s="35" t="n">
        <f aca="false">IF(E139="",G139,IF(ISNUMBER(E139),E139*G139,G139))</f>
        <v>0</v>
      </c>
      <c r="I139" s="4"/>
      <c r="J139" s="5"/>
    </row>
    <row r="140" customFormat="false" ht="15.75" hidden="false" customHeight="true" outlineLevel="0" collapsed="false">
      <c r="B140" s="32" t="s">
        <v>166</v>
      </c>
      <c r="C140" s="32" t="s">
        <v>169</v>
      </c>
      <c r="D140" s="33"/>
      <c r="E140" s="32"/>
      <c r="F140" s="32"/>
      <c r="G140" s="34" t="n">
        <v>0</v>
      </c>
      <c r="H140" s="35" t="n">
        <f aca="false">IF(E140="",G140,IF(ISNUMBER(E140),E140*G140,G140))</f>
        <v>0</v>
      </c>
      <c r="I140" s="33"/>
      <c r="J140" s="13"/>
    </row>
    <row r="141" customFormat="false" ht="15.75" hidden="false" customHeight="true" outlineLevel="0" collapsed="false">
      <c r="B141" s="36" t="s">
        <v>166</v>
      </c>
      <c r="C141" s="36" t="s">
        <v>170</v>
      </c>
      <c r="D141" s="4"/>
      <c r="E141" s="36"/>
      <c r="F141" s="36"/>
      <c r="G141" s="37" t="n">
        <v>0</v>
      </c>
      <c r="H141" s="35" t="n">
        <f aca="false">IF(E141="",G141,IF(ISNUMBER(E141),E141*G141,G141))</f>
        <v>0</v>
      </c>
      <c r="I141" s="4"/>
      <c r="J141" s="5"/>
    </row>
    <row r="142" customFormat="false" ht="15.75" hidden="false" customHeight="true" outlineLevel="0" collapsed="false">
      <c r="B142" s="32" t="s">
        <v>166</v>
      </c>
      <c r="C142" s="32" t="s">
        <v>171</v>
      </c>
      <c r="D142" s="33"/>
      <c r="E142" s="32"/>
      <c r="F142" s="32"/>
      <c r="G142" s="34" t="n">
        <v>0</v>
      </c>
      <c r="H142" s="35" t="n">
        <f aca="false">IF(E142="",G142,IF(ISNUMBER(E142),E142*G142,G142))</f>
        <v>0</v>
      </c>
      <c r="I142" s="33"/>
      <c r="J142" s="13"/>
    </row>
    <row r="143" customFormat="false" ht="15.75" hidden="false" customHeight="true" outlineLevel="0" collapsed="false">
      <c r="B143" s="36" t="s">
        <v>166</v>
      </c>
      <c r="C143" s="36" t="s">
        <v>172</v>
      </c>
      <c r="D143" s="4"/>
      <c r="E143" s="36"/>
      <c r="F143" s="36"/>
      <c r="G143" s="37" t="n">
        <v>0</v>
      </c>
      <c r="H143" s="35" t="n">
        <f aca="false">IF(E143="",G143,IF(ISNUMBER(E143),E143*G143,G143))</f>
        <v>0</v>
      </c>
      <c r="I143" s="4"/>
      <c r="J143" s="5"/>
    </row>
    <row r="144" customFormat="false" ht="15.75" hidden="false" customHeight="true" outlineLevel="0" collapsed="false">
      <c r="B144" s="32" t="s">
        <v>166</v>
      </c>
      <c r="C144" s="32" t="s">
        <v>173</v>
      </c>
      <c r="D144" s="33"/>
      <c r="E144" s="32"/>
      <c r="F144" s="32"/>
      <c r="G144" s="34" t="n">
        <v>0</v>
      </c>
      <c r="H144" s="35" t="n">
        <f aca="false">IF(E144="",G144,IF(ISNUMBER(E144),E144*G144,G144))</f>
        <v>0</v>
      </c>
      <c r="I144" s="33"/>
      <c r="J144" s="13"/>
    </row>
    <row r="145" customFormat="false" ht="15.75" hidden="false" customHeight="true" outlineLevel="0" collapsed="false">
      <c r="B145" s="36" t="s">
        <v>166</v>
      </c>
      <c r="C145" s="36" t="s">
        <v>174</v>
      </c>
      <c r="D145" s="4"/>
      <c r="E145" s="36"/>
      <c r="F145" s="36"/>
      <c r="G145" s="37" t="n">
        <v>0</v>
      </c>
      <c r="H145" s="35" t="n">
        <f aca="false">IF(E145="",G145,IF(ISNUMBER(E145),E145*G145,G145))</f>
        <v>0</v>
      </c>
      <c r="I145" s="4"/>
      <c r="J145" s="5"/>
    </row>
    <row r="146" customFormat="false" ht="3" hidden="false" customHeight="true" outlineLevel="0" collapsed="false"/>
    <row r="147" customFormat="false" ht="16.5" hidden="false" customHeight="true" outlineLevel="0" collapsed="false">
      <c r="B147" s="30" t="s">
        <v>175</v>
      </c>
      <c r="C147" s="31"/>
      <c r="D147" s="31"/>
      <c r="E147" s="31"/>
      <c r="F147" s="31"/>
      <c r="G147" s="31"/>
      <c r="H147" s="31"/>
      <c r="I147" s="31"/>
      <c r="J147" s="31"/>
    </row>
    <row r="148" customFormat="false" ht="15.75" hidden="false" customHeight="true" outlineLevel="0" collapsed="false">
      <c r="B148" s="32" t="s">
        <v>176</v>
      </c>
      <c r="C148" s="32" t="s">
        <v>177</v>
      </c>
      <c r="D148" s="33"/>
      <c r="E148" s="32"/>
      <c r="F148" s="32"/>
      <c r="G148" s="34" t="n">
        <v>0</v>
      </c>
      <c r="H148" s="35" t="n">
        <f aca="false">IF(E148="",G148,IF(ISNUMBER(E148),E148*G148,G148))</f>
        <v>0</v>
      </c>
      <c r="I148" s="33"/>
      <c r="J148" s="13"/>
    </row>
    <row r="149" customFormat="false" ht="15.75" hidden="false" customHeight="true" outlineLevel="0" collapsed="false">
      <c r="B149" s="36" t="s">
        <v>176</v>
      </c>
      <c r="C149" s="36" t="s">
        <v>178</v>
      </c>
      <c r="D149" s="4"/>
      <c r="E149" s="36"/>
      <c r="F149" s="36"/>
      <c r="G149" s="37" t="n">
        <v>0</v>
      </c>
      <c r="H149" s="35" t="n">
        <f aca="false">IF(E149="",G149,IF(ISNUMBER(E149),E149*G149,G149))</f>
        <v>0</v>
      </c>
      <c r="I149" s="4"/>
      <c r="J149" s="5"/>
    </row>
    <row r="150" customFormat="false" ht="15.75" hidden="false" customHeight="true" outlineLevel="0" collapsed="false">
      <c r="B150" s="32" t="s">
        <v>176</v>
      </c>
      <c r="C150" s="32" t="s">
        <v>179</v>
      </c>
      <c r="D150" s="33"/>
      <c r="E150" s="32"/>
      <c r="F150" s="32"/>
      <c r="G150" s="34" t="n">
        <v>0</v>
      </c>
      <c r="H150" s="35" t="n">
        <f aca="false">IF(E150="",G150,IF(ISNUMBER(E150),E150*G150,G150))</f>
        <v>0</v>
      </c>
      <c r="I150" s="33"/>
      <c r="J150" s="13"/>
    </row>
    <row r="151" customFormat="false" ht="15.75" hidden="false" customHeight="true" outlineLevel="0" collapsed="false">
      <c r="B151" s="36" t="s">
        <v>176</v>
      </c>
      <c r="C151" s="36" t="s">
        <v>180</v>
      </c>
      <c r="D151" s="4"/>
      <c r="E151" s="36"/>
      <c r="F151" s="36"/>
      <c r="G151" s="37" t="n">
        <v>0</v>
      </c>
      <c r="H151" s="35" t="n">
        <f aca="false">IF(E151="",G151,IF(ISNUMBER(E151),E151*G151,G151))</f>
        <v>0</v>
      </c>
      <c r="I151" s="4"/>
      <c r="J151" s="5"/>
    </row>
    <row r="152" customFormat="false" ht="15.75" hidden="false" customHeight="true" outlineLevel="0" collapsed="false">
      <c r="B152" s="32" t="s">
        <v>176</v>
      </c>
      <c r="C152" s="32" t="s">
        <v>181</v>
      </c>
      <c r="D152" s="33"/>
      <c r="E152" s="32"/>
      <c r="F152" s="32"/>
      <c r="G152" s="34" t="n">
        <v>0</v>
      </c>
      <c r="H152" s="35" t="n">
        <f aca="false">IF(E152="",G152,IF(ISNUMBER(E152),E152*G152,G152))</f>
        <v>0</v>
      </c>
      <c r="I152" s="33"/>
      <c r="J152" s="13"/>
    </row>
    <row r="153" customFormat="false" ht="15.75" hidden="false" customHeight="true" outlineLevel="0" collapsed="false">
      <c r="B153" s="36" t="s">
        <v>176</v>
      </c>
      <c r="C153" s="36" t="s">
        <v>182</v>
      </c>
      <c r="D153" s="4"/>
      <c r="E153" s="36"/>
      <c r="F153" s="36"/>
      <c r="G153" s="37" t="n">
        <v>0</v>
      </c>
      <c r="H153" s="35" t="n">
        <f aca="false">IF(E153="",G153,IF(ISNUMBER(E153),E153*G153,G153))</f>
        <v>0</v>
      </c>
      <c r="I153" s="4"/>
      <c r="J153" s="5"/>
    </row>
    <row r="154" customFormat="false" ht="15.75" hidden="false" customHeight="true" outlineLevel="0" collapsed="false">
      <c r="B154" s="32" t="s">
        <v>176</v>
      </c>
      <c r="C154" s="32" t="s">
        <v>183</v>
      </c>
      <c r="D154" s="33"/>
      <c r="E154" s="32"/>
      <c r="F154" s="32"/>
      <c r="G154" s="34" t="n">
        <v>0</v>
      </c>
      <c r="H154" s="35" t="n">
        <f aca="false">IF(E154="",G154,IF(ISNUMBER(E154),E154*G154,G154))</f>
        <v>0</v>
      </c>
      <c r="I154" s="33"/>
      <c r="J154" s="13"/>
    </row>
    <row r="155" customFormat="false" ht="15.75" hidden="false" customHeight="true" outlineLevel="0" collapsed="false">
      <c r="B155" s="36" t="s">
        <v>176</v>
      </c>
      <c r="C155" s="36" t="s">
        <v>184</v>
      </c>
      <c r="D155" s="4"/>
      <c r="E155" s="36"/>
      <c r="F155" s="36"/>
      <c r="G155" s="37" t="n">
        <v>0</v>
      </c>
      <c r="H155" s="35" t="n">
        <f aca="false">IF(E155="",G155,IF(ISNUMBER(E155),E155*G155,G155))</f>
        <v>0</v>
      </c>
      <c r="I155" s="4"/>
      <c r="J155" s="5"/>
    </row>
    <row r="156" customFormat="false" ht="3" hidden="false" customHeight="true" outlineLevel="0" collapsed="false"/>
    <row r="157" customFormat="false" ht="16.5" hidden="false" customHeight="true" outlineLevel="0" collapsed="false">
      <c r="B157" s="30" t="s">
        <v>185</v>
      </c>
      <c r="C157" s="31"/>
      <c r="D157" s="31"/>
      <c r="E157" s="31"/>
      <c r="F157" s="31"/>
      <c r="G157" s="31"/>
      <c r="H157" s="31"/>
      <c r="I157" s="31"/>
      <c r="J157" s="31"/>
    </row>
    <row r="158" customFormat="false" ht="15.75" hidden="false" customHeight="true" outlineLevel="0" collapsed="false">
      <c r="B158" s="32" t="s">
        <v>186</v>
      </c>
      <c r="C158" s="32" t="s">
        <v>187</v>
      </c>
      <c r="D158" s="33"/>
      <c r="E158" s="32"/>
      <c r="F158" s="32"/>
      <c r="G158" s="34" t="n">
        <v>0</v>
      </c>
      <c r="H158" s="35" t="n">
        <f aca="false">IF(E158="",G158,IF(ISNUMBER(E158),E158*G158,G158))</f>
        <v>0</v>
      </c>
      <c r="I158" s="33"/>
      <c r="J158" s="13"/>
    </row>
    <row r="159" customFormat="false" ht="15.75" hidden="false" customHeight="true" outlineLevel="0" collapsed="false">
      <c r="B159" s="36" t="s">
        <v>186</v>
      </c>
      <c r="C159" s="36" t="s">
        <v>188</v>
      </c>
      <c r="D159" s="4"/>
      <c r="E159" s="36"/>
      <c r="F159" s="36"/>
      <c r="G159" s="37" t="n">
        <v>0</v>
      </c>
      <c r="H159" s="35" t="n">
        <f aca="false">IF(E159="",G159,IF(ISNUMBER(E159),E159*G159,G159))</f>
        <v>0</v>
      </c>
      <c r="I159" s="4"/>
      <c r="J159" s="5"/>
    </row>
    <row r="160" customFormat="false" ht="15.75" hidden="false" customHeight="true" outlineLevel="0" collapsed="false">
      <c r="B160" s="32" t="s">
        <v>186</v>
      </c>
      <c r="C160" s="32" t="s">
        <v>189</v>
      </c>
      <c r="D160" s="33"/>
      <c r="E160" s="32"/>
      <c r="F160" s="32"/>
      <c r="G160" s="34" t="n">
        <v>0</v>
      </c>
      <c r="H160" s="35" t="n">
        <f aca="false">IF(E160="",G160,IF(ISNUMBER(E160),E160*G160,G160))</f>
        <v>0</v>
      </c>
      <c r="I160" s="33"/>
      <c r="J160" s="13"/>
    </row>
    <row r="161" customFormat="false" ht="15.75" hidden="false" customHeight="true" outlineLevel="0" collapsed="false">
      <c r="B161" s="36" t="s">
        <v>186</v>
      </c>
      <c r="C161" s="36" t="s">
        <v>190</v>
      </c>
      <c r="D161" s="4"/>
      <c r="E161" s="36"/>
      <c r="F161" s="36"/>
      <c r="G161" s="37" t="n">
        <v>0</v>
      </c>
      <c r="H161" s="35" t="n">
        <f aca="false">IF(E161="",G161,IF(ISNUMBER(E161),E161*G161,G161))</f>
        <v>0</v>
      </c>
      <c r="I161" s="4"/>
      <c r="J161" s="5"/>
    </row>
    <row r="162" customFormat="false" ht="15.75" hidden="false" customHeight="true" outlineLevel="0" collapsed="false">
      <c r="B162" s="32" t="s">
        <v>186</v>
      </c>
      <c r="C162" s="32" t="s">
        <v>191</v>
      </c>
      <c r="D162" s="33"/>
      <c r="E162" s="32"/>
      <c r="F162" s="32"/>
      <c r="G162" s="34" t="n">
        <v>0</v>
      </c>
      <c r="H162" s="35" t="n">
        <f aca="false">IF(E162="",G162,IF(ISNUMBER(E162),E162*G162,G162))</f>
        <v>0</v>
      </c>
      <c r="I162" s="33"/>
      <c r="J162" s="13"/>
    </row>
    <row r="163" customFormat="false" ht="15.75" hidden="false" customHeight="true" outlineLevel="0" collapsed="false">
      <c r="B163" s="36" t="s">
        <v>186</v>
      </c>
      <c r="C163" s="36" t="s">
        <v>192</v>
      </c>
      <c r="D163" s="4"/>
      <c r="E163" s="36"/>
      <c r="F163" s="36"/>
      <c r="G163" s="37" t="n">
        <v>0</v>
      </c>
      <c r="H163" s="35" t="n">
        <f aca="false">IF(E163="",G163,IF(ISNUMBER(E163),E163*G163,G163))</f>
        <v>0</v>
      </c>
      <c r="I163" s="4"/>
      <c r="J163" s="5"/>
    </row>
    <row r="164" customFormat="false" ht="15.75" hidden="false" customHeight="true" outlineLevel="0" collapsed="false">
      <c r="B164" s="32" t="s">
        <v>186</v>
      </c>
      <c r="C164" s="32" t="s">
        <v>193</v>
      </c>
      <c r="D164" s="33"/>
      <c r="E164" s="32"/>
      <c r="F164" s="32"/>
      <c r="G164" s="34" t="n">
        <v>0</v>
      </c>
      <c r="H164" s="35" t="n">
        <f aca="false">IF(E164="",G164,IF(ISNUMBER(E164),E164*G164,G164))</f>
        <v>0</v>
      </c>
      <c r="I164" s="33"/>
      <c r="J164" s="13"/>
    </row>
    <row r="165" customFormat="false" ht="15.75" hidden="false" customHeight="true" outlineLevel="0" collapsed="false">
      <c r="B165" s="36" t="s">
        <v>186</v>
      </c>
      <c r="C165" s="36" t="s">
        <v>194</v>
      </c>
      <c r="D165" s="4"/>
      <c r="E165" s="36"/>
      <c r="F165" s="36"/>
      <c r="G165" s="37" t="n">
        <v>0</v>
      </c>
      <c r="H165" s="35" t="n">
        <f aca="false">IF(E165="",G165,IF(ISNUMBER(E165),E165*G165,G165))</f>
        <v>0</v>
      </c>
      <c r="I165" s="4"/>
      <c r="J165" s="5"/>
    </row>
    <row r="166" customFormat="false" ht="3" hidden="false" customHeight="true" outlineLevel="0" collapsed="false"/>
    <row r="167" customFormat="false" ht="16.5" hidden="false" customHeight="true" outlineLevel="0" collapsed="false">
      <c r="B167" s="30" t="s">
        <v>195</v>
      </c>
      <c r="C167" s="31"/>
      <c r="D167" s="31"/>
      <c r="E167" s="31"/>
      <c r="F167" s="31"/>
      <c r="G167" s="31"/>
      <c r="H167" s="31"/>
      <c r="I167" s="31"/>
      <c r="J167" s="31"/>
    </row>
    <row r="168" customFormat="false" ht="15.75" hidden="false" customHeight="true" outlineLevel="0" collapsed="false">
      <c r="B168" s="32" t="s">
        <v>196</v>
      </c>
      <c r="C168" s="32" t="s">
        <v>197</v>
      </c>
      <c r="D168" s="33"/>
      <c r="E168" s="32"/>
      <c r="F168" s="32"/>
      <c r="G168" s="34" t="n">
        <v>0</v>
      </c>
      <c r="H168" s="35" t="n">
        <f aca="false">IF(E168="",G168,IF(ISNUMBER(E168),E168*G168,G168))</f>
        <v>0</v>
      </c>
      <c r="I168" s="33"/>
      <c r="J168" s="13"/>
    </row>
    <row r="169" customFormat="false" ht="15.75" hidden="false" customHeight="true" outlineLevel="0" collapsed="false">
      <c r="B169" s="36" t="s">
        <v>196</v>
      </c>
      <c r="C169" s="36" t="s">
        <v>198</v>
      </c>
      <c r="D169" s="4"/>
      <c r="E169" s="36"/>
      <c r="F169" s="36"/>
      <c r="G169" s="37" t="n">
        <v>0</v>
      </c>
      <c r="H169" s="35" t="n">
        <f aca="false">IF(E169="",G169,IF(ISNUMBER(E169),E169*G169,G169))</f>
        <v>0</v>
      </c>
      <c r="I169" s="4"/>
      <c r="J169" s="5"/>
    </row>
    <row r="170" customFormat="false" ht="15.75" hidden="false" customHeight="true" outlineLevel="0" collapsed="false">
      <c r="B170" s="32" t="s">
        <v>196</v>
      </c>
      <c r="C170" s="32" t="s">
        <v>199</v>
      </c>
      <c r="D170" s="33"/>
      <c r="E170" s="32"/>
      <c r="F170" s="32"/>
      <c r="G170" s="34" t="n">
        <v>0</v>
      </c>
      <c r="H170" s="35" t="n">
        <f aca="false">IF(E170="",G170,IF(ISNUMBER(E170),E170*G170,G170))</f>
        <v>0</v>
      </c>
      <c r="I170" s="33"/>
      <c r="J170" s="13"/>
    </row>
    <row r="171" customFormat="false" ht="15.75" hidden="false" customHeight="true" outlineLevel="0" collapsed="false">
      <c r="B171" s="36" t="s">
        <v>196</v>
      </c>
      <c r="C171" s="36" t="s">
        <v>200</v>
      </c>
      <c r="D171" s="4"/>
      <c r="E171" s="36"/>
      <c r="F171" s="36"/>
      <c r="G171" s="37" t="n">
        <v>0</v>
      </c>
      <c r="H171" s="35" t="n">
        <f aca="false">IF(E171="",G171,IF(ISNUMBER(E171),E171*G171,G171))</f>
        <v>0</v>
      </c>
      <c r="I171" s="4"/>
      <c r="J171" s="5"/>
    </row>
    <row r="172" customFormat="false" ht="15.75" hidden="false" customHeight="true" outlineLevel="0" collapsed="false">
      <c r="B172" s="32" t="s">
        <v>196</v>
      </c>
      <c r="C172" s="32" t="s">
        <v>201</v>
      </c>
      <c r="D172" s="33"/>
      <c r="E172" s="32"/>
      <c r="F172" s="32"/>
      <c r="G172" s="34" t="n">
        <v>0</v>
      </c>
      <c r="H172" s="35" t="n">
        <f aca="false">IF(E172="",G172,IF(ISNUMBER(E172),E172*G172,G172))</f>
        <v>0</v>
      </c>
      <c r="I172" s="33"/>
      <c r="J172" s="13"/>
    </row>
    <row r="173" customFormat="false" ht="15.75" hidden="false" customHeight="true" outlineLevel="0" collapsed="false">
      <c r="B173" s="36" t="s">
        <v>196</v>
      </c>
      <c r="C173" s="36" t="s">
        <v>202</v>
      </c>
      <c r="D173" s="4"/>
      <c r="E173" s="36"/>
      <c r="F173" s="36"/>
      <c r="G173" s="37" t="n">
        <v>0</v>
      </c>
      <c r="H173" s="35" t="n">
        <f aca="false">IF(E173="",G173,IF(ISNUMBER(E173),E173*G173,G173))</f>
        <v>0</v>
      </c>
      <c r="I173" s="4"/>
      <c r="J173" s="5"/>
    </row>
    <row r="174" customFormat="false" ht="15.75" hidden="false" customHeight="true" outlineLevel="0" collapsed="false">
      <c r="B174" s="32" t="s">
        <v>196</v>
      </c>
      <c r="C174" s="32" t="s">
        <v>203</v>
      </c>
      <c r="D174" s="33"/>
      <c r="E174" s="32"/>
      <c r="F174" s="32"/>
      <c r="G174" s="34" t="n">
        <v>0</v>
      </c>
      <c r="H174" s="35" t="n">
        <f aca="false">IF(E174="",G174,IF(ISNUMBER(E174),E174*G174,G174))</f>
        <v>0</v>
      </c>
      <c r="I174" s="33"/>
      <c r="J174" s="13"/>
    </row>
    <row r="175" customFormat="false" ht="15.75" hidden="false" customHeight="true" outlineLevel="0" collapsed="false">
      <c r="B175" s="36" t="s">
        <v>196</v>
      </c>
      <c r="C175" s="36" t="s">
        <v>204</v>
      </c>
      <c r="D175" s="4"/>
      <c r="E175" s="36"/>
      <c r="F175" s="36"/>
      <c r="G175" s="37" t="n">
        <v>0</v>
      </c>
      <c r="H175" s="35" t="n">
        <f aca="false">IF(E175="",G175,IF(ISNUMBER(E175),E175*G175,G175))</f>
        <v>0</v>
      </c>
      <c r="I175" s="4"/>
      <c r="J175" s="5"/>
    </row>
    <row r="176" customFormat="false" ht="3" hidden="false" customHeight="true" outlineLevel="0" collapsed="false"/>
    <row r="177" customFormat="false" ht="16.5" hidden="false" customHeight="true" outlineLevel="0" collapsed="false">
      <c r="B177" s="30" t="s">
        <v>205</v>
      </c>
      <c r="C177" s="31"/>
      <c r="D177" s="31"/>
      <c r="E177" s="31"/>
      <c r="F177" s="31"/>
      <c r="G177" s="31"/>
      <c r="H177" s="31"/>
      <c r="I177" s="31"/>
      <c r="J177" s="31"/>
    </row>
    <row r="178" customFormat="false" ht="15.75" hidden="false" customHeight="true" outlineLevel="0" collapsed="false">
      <c r="B178" s="32" t="s">
        <v>206</v>
      </c>
      <c r="C178" s="32" t="s">
        <v>207</v>
      </c>
      <c r="D178" s="33"/>
      <c r="E178" s="32"/>
      <c r="F178" s="32"/>
      <c r="G178" s="34" t="n">
        <v>0</v>
      </c>
      <c r="H178" s="35" t="n">
        <f aca="false">IF(E178="",G178,IF(ISNUMBER(E178),E178*G178,G178))</f>
        <v>0</v>
      </c>
      <c r="I178" s="33"/>
      <c r="J178" s="13"/>
    </row>
    <row r="179" customFormat="false" ht="15.75" hidden="false" customHeight="true" outlineLevel="0" collapsed="false">
      <c r="B179" s="36" t="s">
        <v>206</v>
      </c>
      <c r="C179" s="36" t="s">
        <v>208</v>
      </c>
      <c r="D179" s="4"/>
      <c r="E179" s="36"/>
      <c r="F179" s="36"/>
      <c r="G179" s="37" t="n">
        <v>0</v>
      </c>
      <c r="H179" s="35" t="n">
        <f aca="false">IF(E179="",G179,IF(ISNUMBER(E179),E179*G179,G179))</f>
        <v>0</v>
      </c>
      <c r="I179" s="4"/>
      <c r="J179" s="5"/>
    </row>
    <row r="180" customFormat="false" ht="15.75" hidden="false" customHeight="true" outlineLevel="0" collapsed="false">
      <c r="B180" s="32" t="s">
        <v>206</v>
      </c>
      <c r="C180" s="32" t="s">
        <v>209</v>
      </c>
      <c r="D180" s="33"/>
      <c r="E180" s="32"/>
      <c r="F180" s="32"/>
      <c r="G180" s="34" t="n">
        <v>0</v>
      </c>
      <c r="H180" s="35" t="n">
        <f aca="false">IF(E180="",G180,IF(ISNUMBER(E180),E180*G180,G180))</f>
        <v>0</v>
      </c>
      <c r="I180" s="33"/>
      <c r="J180" s="13"/>
    </row>
    <row r="181" customFormat="false" ht="15.75" hidden="false" customHeight="true" outlineLevel="0" collapsed="false">
      <c r="B181" s="36" t="s">
        <v>206</v>
      </c>
      <c r="C181" s="36" t="s">
        <v>210</v>
      </c>
      <c r="D181" s="4"/>
      <c r="E181" s="36"/>
      <c r="F181" s="36"/>
      <c r="G181" s="37" t="n">
        <v>0</v>
      </c>
      <c r="H181" s="35" t="n">
        <f aca="false">IF(E181="",G181,IF(ISNUMBER(E181),E181*G181,G181))</f>
        <v>0</v>
      </c>
      <c r="I181" s="4"/>
      <c r="J181" s="5"/>
    </row>
    <row r="182" customFormat="false" ht="15.75" hidden="false" customHeight="true" outlineLevel="0" collapsed="false">
      <c r="B182" s="32" t="s">
        <v>206</v>
      </c>
      <c r="C182" s="32" t="s">
        <v>211</v>
      </c>
      <c r="D182" s="33"/>
      <c r="E182" s="32"/>
      <c r="F182" s="32"/>
      <c r="G182" s="34" t="n">
        <v>0</v>
      </c>
      <c r="H182" s="35" t="n">
        <f aca="false">IF(E182="",G182,IF(ISNUMBER(E182),E182*G182,G182))</f>
        <v>0</v>
      </c>
      <c r="I182" s="33"/>
      <c r="J182" s="13"/>
    </row>
    <row r="183" customFormat="false" ht="15.75" hidden="false" customHeight="true" outlineLevel="0" collapsed="false">
      <c r="B183" s="36" t="s">
        <v>206</v>
      </c>
      <c r="C183" s="36" t="s">
        <v>212</v>
      </c>
      <c r="D183" s="4"/>
      <c r="E183" s="36"/>
      <c r="F183" s="36"/>
      <c r="G183" s="37" t="n">
        <v>0</v>
      </c>
      <c r="H183" s="35" t="n">
        <f aca="false">IF(E183="",G183,IF(ISNUMBER(E183),E183*G183,G183))</f>
        <v>0</v>
      </c>
      <c r="I183" s="4"/>
      <c r="J183" s="5"/>
    </row>
    <row r="184" customFormat="false" ht="15.75" hidden="false" customHeight="true" outlineLevel="0" collapsed="false">
      <c r="B184" s="32" t="s">
        <v>206</v>
      </c>
      <c r="C184" s="32" t="s">
        <v>213</v>
      </c>
      <c r="D184" s="33"/>
      <c r="E184" s="32"/>
      <c r="F184" s="32"/>
      <c r="G184" s="34" t="n">
        <v>0</v>
      </c>
      <c r="H184" s="35" t="n">
        <f aca="false">IF(E184="",G184,IF(ISNUMBER(E184),E184*G184,G184))</f>
        <v>0</v>
      </c>
      <c r="I184" s="33"/>
      <c r="J184" s="13"/>
    </row>
    <row r="185" customFormat="false" ht="15.75" hidden="false" customHeight="true" outlineLevel="0" collapsed="false">
      <c r="B185" s="36" t="s">
        <v>206</v>
      </c>
      <c r="C185" s="36" t="s">
        <v>214</v>
      </c>
      <c r="D185" s="4"/>
      <c r="E185" s="36"/>
      <c r="F185" s="36"/>
      <c r="G185" s="37" t="n">
        <v>0</v>
      </c>
      <c r="H185" s="35" t="n">
        <f aca="false">IF(E185="",G185,IF(ISNUMBER(E185),E185*G185,G185))</f>
        <v>0</v>
      </c>
      <c r="I185" s="4"/>
      <c r="J185" s="5"/>
    </row>
    <row r="186" customFormat="false" ht="3" hidden="false" customHeight="true" outlineLevel="0" collapsed="false"/>
    <row r="187" customFormat="false" ht="16.5" hidden="false" customHeight="true" outlineLevel="0" collapsed="false">
      <c r="B187" s="30" t="s">
        <v>215</v>
      </c>
      <c r="C187" s="31"/>
      <c r="D187" s="31"/>
      <c r="E187" s="31"/>
      <c r="F187" s="31"/>
      <c r="G187" s="31"/>
      <c r="H187" s="31"/>
      <c r="I187" s="31"/>
      <c r="J187" s="31"/>
    </row>
    <row r="188" customFormat="false" ht="15.75" hidden="false" customHeight="true" outlineLevel="0" collapsed="false">
      <c r="B188" s="32" t="s">
        <v>216</v>
      </c>
      <c r="C188" s="32" t="s">
        <v>217</v>
      </c>
      <c r="D188" s="33"/>
      <c r="E188" s="32"/>
      <c r="F188" s="32"/>
      <c r="G188" s="34" t="n">
        <v>0</v>
      </c>
      <c r="H188" s="35" t="n">
        <f aca="false">IF(E188="",G188,IF(ISNUMBER(E188),E188*G188,G188))</f>
        <v>0</v>
      </c>
      <c r="I188" s="33"/>
      <c r="J188" s="13"/>
    </row>
    <row r="189" customFormat="false" ht="15.75" hidden="false" customHeight="true" outlineLevel="0" collapsed="false">
      <c r="B189" s="36" t="s">
        <v>216</v>
      </c>
      <c r="C189" s="36" t="s">
        <v>218</v>
      </c>
      <c r="D189" s="4"/>
      <c r="E189" s="36"/>
      <c r="F189" s="36"/>
      <c r="G189" s="37" t="n">
        <v>0</v>
      </c>
      <c r="H189" s="35" t="n">
        <f aca="false">IF(E189="",G189,IF(ISNUMBER(E189),E189*G189,G189))</f>
        <v>0</v>
      </c>
      <c r="I189" s="4"/>
      <c r="J189" s="5"/>
    </row>
    <row r="190" customFormat="false" ht="15.75" hidden="false" customHeight="true" outlineLevel="0" collapsed="false">
      <c r="B190" s="32" t="s">
        <v>216</v>
      </c>
      <c r="C190" s="32" t="s">
        <v>219</v>
      </c>
      <c r="D190" s="33"/>
      <c r="E190" s="32"/>
      <c r="F190" s="32"/>
      <c r="G190" s="34" t="n">
        <v>0</v>
      </c>
      <c r="H190" s="35" t="n">
        <f aca="false">IF(E190="",G190,IF(ISNUMBER(E190),E190*G190,G190))</f>
        <v>0</v>
      </c>
      <c r="I190" s="33"/>
      <c r="J190" s="13"/>
    </row>
    <row r="191" customFormat="false" ht="15.75" hidden="false" customHeight="true" outlineLevel="0" collapsed="false">
      <c r="B191" s="36" t="s">
        <v>216</v>
      </c>
      <c r="C191" s="36" t="s">
        <v>220</v>
      </c>
      <c r="D191" s="4"/>
      <c r="E191" s="36"/>
      <c r="F191" s="36"/>
      <c r="G191" s="37" t="n">
        <v>0</v>
      </c>
      <c r="H191" s="35" t="n">
        <f aca="false">IF(E191="",G191,IF(ISNUMBER(E191),E191*G191,G191))</f>
        <v>0</v>
      </c>
      <c r="I191" s="4"/>
      <c r="J191" s="5"/>
    </row>
    <row r="192" customFormat="false" ht="15.75" hidden="false" customHeight="true" outlineLevel="0" collapsed="false">
      <c r="B192" s="32" t="s">
        <v>216</v>
      </c>
      <c r="C192" s="32" t="s">
        <v>221</v>
      </c>
      <c r="D192" s="33"/>
      <c r="E192" s="32"/>
      <c r="F192" s="32"/>
      <c r="G192" s="34" t="n">
        <v>0</v>
      </c>
      <c r="H192" s="35" t="n">
        <f aca="false">IF(E192="",G192,IF(ISNUMBER(E192),E192*G192,G192))</f>
        <v>0</v>
      </c>
      <c r="I192" s="33"/>
      <c r="J192" s="13"/>
    </row>
    <row r="193" customFormat="false" ht="15.75" hidden="false" customHeight="true" outlineLevel="0" collapsed="false">
      <c r="B193" s="36" t="s">
        <v>216</v>
      </c>
      <c r="C193" s="36" t="s">
        <v>222</v>
      </c>
      <c r="D193" s="4"/>
      <c r="E193" s="36"/>
      <c r="F193" s="36"/>
      <c r="G193" s="37" t="n">
        <v>0</v>
      </c>
      <c r="H193" s="35" t="n">
        <f aca="false">IF(E193="",G193,IF(ISNUMBER(E193),E193*G193,G193))</f>
        <v>0</v>
      </c>
      <c r="I193" s="4"/>
      <c r="J193" s="5"/>
    </row>
    <row r="194" customFormat="false" ht="15.75" hidden="false" customHeight="true" outlineLevel="0" collapsed="false">
      <c r="B194" s="32" t="s">
        <v>216</v>
      </c>
      <c r="C194" s="32" t="s">
        <v>223</v>
      </c>
      <c r="D194" s="33"/>
      <c r="E194" s="32"/>
      <c r="F194" s="32"/>
      <c r="G194" s="34" t="n">
        <v>0</v>
      </c>
      <c r="H194" s="35" t="n">
        <f aca="false">IF(E194="",G194,IF(ISNUMBER(E194),E194*G194,G194))</f>
        <v>0</v>
      </c>
      <c r="I194" s="33"/>
      <c r="J194" s="13"/>
    </row>
    <row r="195" customFormat="false" ht="15.75" hidden="false" customHeight="true" outlineLevel="0" collapsed="false">
      <c r="B195" s="36" t="s">
        <v>216</v>
      </c>
      <c r="C195" s="36" t="s">
        <v>224</v>
      </c>
      <c r="D195" s="4"/>
      <c r="E195" s="36"/>
      <c r="F195" s="36"/>
      <c r="G195" s="37" t="n">
        <v>0</v>
      </c>
      <c r="H195" s="35" t="n">
        <f aca="false">IF(E195="",G195,IF(ISNUMBER(E195),E195*G195,G195))</f>
        <v>0</v>
      </c>
      <c r="I195" s="4"/>
      <c r="J195" s="5"/>
    </row>
    <row r="196" customFormat="false" ht="3" hidden="false" customHeight="true" outlineLevel="0" collapsed="false"/>
    <row r="197" customFormat="false" ht="16.5" hidden="false" customHeight="true" outlineLevel="0" collapsed="false">
      <c r="B197" s="30" t="s">
        <v>225</v>
      </c>
      <c r="C197" s="31"/>
      <c r="D197" s="31"/>
      <c r="E197" s="31"/>
      <c r="F197" s="31"/>
      <c r="G197" s="31"/>
      <c r="H197" s="31"/>
      <c r="I197" s="31"/>
      <c r="J197" s="31"/>
    </row>
    <row r="198" customFormat="false" ht="15.75" hidden="false" customHeight="true" outlineLevel="0" collapsed="false">
      <c r="B198" s="32" t="s">
        <v>226</v>
      </c>
      <c r="C198" s="32" t="s">
        <v>227</v>
      </c>
      <c r="D198" s="33"/>
      <c r="E198" s="32"/>
      <c r="F198" s="32"/>
      <c r="G198" s="34" t="n">
        <v>0</v>
      </c>
      <c r="H198" s="35" t="n">
        <f aca="false">IF(E198="",G198,IF(ISNUMBER(E198),E198*G198,G198))</f>
        <v>0</v>
      </c>
      <c r="I198" s="33"/>
      <c r="J198" s="13"/>
    </row>
    <row r="199" customFormat="false" ht="15.75" hidden="false" customHeight="true" outlineLevel="0" collapsed="false">
      <c r="B199" s="36" t="s">
        <v>226</v>
      </c>
      <c r="C199" s="36" t="s">
        <v>228</v>
      </c>
      <c r="D199" s="4"/>
      <c r="E199" s="36"/>
      <c r="F199" s="36"/>
      <c r="G199" s="37" t="n">
        <v>0</v>
      </c>
      <c r="H199" s="35" t="n">
        <f aca="false">IF(E199="",G199,IF(ISNUMBER(E199),E199*G199,G199))</f>
        <v>0</v>
      </c>
      <c r="I199" s="4"/>
      <c r="J199" s="5"/>
    </row>
    <row r="200" customFormat="false" ht="15.75" hidden="false" customHeight="true" outlineLevel="0" collapsed="false">
      <c r="B200" s="32" t="s">
        <v>226</v>
      </c>
      <c r="C200" s="32" t="s">
        <v>229</v>
      </c>
      <c r="D200" s="33"/>
      <c r="E200" s="32"/>
      <c r="F200" s="32"/>
      <c r="G200" s="34" t="n">
        <v>0</v>
      </c>
      <c r="H200" s="35" t="n">
        <f aca="false">IF(E200="",G200,IF(ISNUMBER(E200),E200*G200,G200))</f>
        <v>0</v>
      </c>
      <c r="I200" s="33"/>
      <c r="J200" s="13"/>
    </row>
    <row r="201" customFormat="false" ht="15.75" hidden="false" customHeight="true" outlineLevel="0" collapsed="false">
      <c r="B201" s="36" t="s">
        <v>226</v>
      </c>
      <c r="C201" s="36" t="s">
        <v>230</v>
      </c>
      <c r="D201" s="4"/>
      <c r="E201" s="36"/>
      <c r="F201" s="36"/>
      <c r="G201" s="37" t="n">
        <v>0</v>
      </c>
      <c r="H201" s="35" t="n">
        <f aca="false">IF(E201="",G201,IF(ISNUMBER(E201),E201*G201,G201))</f>
        <v>0</v>
      </c>
      <c r="I201" s="4"/>
      <c r="J201" s="5"/>
    </row>
    <row r="202" customFormat="false" ht="15.75" hidden="false" customHeight="true" outlineLevel="0" collapsed="false">
      <c r="B202" s="32" t="s">
        <v>226</v>
      </c>
      <c r="C202" s="32" t="s">
        <v>231</v>
      </c>
      <c r="D202" s="33"/>
      <c r="E202" s="32"/>
      <c r="F202" s="32"/>
      <c r="G202" s="34" t="n">
        <v>0</v>
      </c>
      <c r="H202" s="35" t="n">
        <f aca="false">IF(E202="",G202,IF(ISNUMBER(E202),E202*G202,G202))</f>
        <v>0</v>
      </c>
      <c r="I202" s="33"/>
      <c r="J202" s="13"/>
    </row>
    <row r="203" customFormat="false" ht="15.75" hidden="false" customHeight="true" outlineLevel="0" collapsed="false">
      <c r="B203" s="36" t="s">
        <v>226</v>
      </c>
      <c r="C203" s="36" t="s">
        <v>232</v>
      </c>
      <c r="D203" s="4"/>
      <c r="E203" s="36"/>
      <c r="F203" s="36"/>
      <c r="G203" s="37" t="n">
        <v>0</v>
      </c>
      <c r="H203" s="35" t="n">
        <f aca="false">IF(E203="",G203,IF(ISNUMBER(E203),E203*G203,G203))</f>
        <v>0</v>
      </c>
      <c r="I203" s="4"/>
      <c r="J203" s="5"/>
    </row>
    <row r="204" customFormat="false" ht="15.75" hidden="false" customHeight="true" outlineLevel="0" collapsed="false">
      <c r="B204" s="32" t="s">
        <v>226</v>
      </c>
      <c r="C204" s="32" t="s">
        <v>233</v>
      </c>
      <c r="D204" s="33"/>
      <c r="E204" s="32"/>
      <c r="F204" s="32"/>
      <c r="G204" s="34" t="n">
        <v>0</v>
      </c>
      <c r="H204" s="35" t="n">
        <f aca="false">IF(E204="",G204,IF(ISNUMBER(E204),E204*G204,G204))</f>
        <v>0</v>
      </c>
      <c r="I204" s="33"/>
      <c r="J204" s="13"/>
    </row>
    <row r="205" customFormat="false" ht="15.75" hidden="false" customHeight="true" outlineLevel="0" collapsed="false">
      <c r="B205" s="36" t="s">
        <v>226</v>
      </c>
      <c r="C205" s="36" t="s">
        <v>234</v>
      </c>
      <c r="D205" s="4"/>
      <c r="E205" s="36"/>
      <c r="F205" s="36"/>
      <c r="G205" s="37" t="n">
        <v>0</v>
      </c>
      <c r="H205" s="35" t="n">
        <f aca="false">IF(E205="",G205,IF(ISNUMBER(E205),E205*G205,G205))</f>
        <v>0</v>
      </c>
      <c r="I205" s="4"/>
      <c r="J205" s="5"/>
    </row>
    <row r="206" customFormat="false" ht="3" hidden="false" customHeight="true" outlineLevel="0" collapsed="false"/>
    <row r="207" customFormat="false" ht="16.5" hidden="false" customHeight="true" outlineLevel="0" collapsed="false">
      <c r="B207" s="30" t="s">
        <v>235</v>
      </c>
      <c r="C207" s="31"/>
      <c r="D207" s="31"/>
      <c r="E207" s="31"/>
      <c r="F207" s="31"/>
      <c r="G207" s="31"/>
      <c r="H207" s="31"/>
      <c r="I207" s="31"/>
      <c r="J207" s="31"/>
    </row>
    <row r="208" customFormat="false" ht="15.75" hidden="false" customHeight="true" outlineLevel="0" collapsed="false">
      <c r="B208" s="32" t="s">
        <v>236</v>
      </c>
      <c r="C208" s="32" t="s">
        <v>237</v>
      </c>
      <c r="D208" s="33"/>
      <c r="E208" s="32"/>
      <c r="F208" s="32"/>
      <c r="G208" s="34" t="n">
        <v>0</v>
      </c>
      <c r="H208" s="35" t="n">
        <f aca="false">IF(E208="",G208,IF(ISNUMBER(E208),E208*G208,G208))</f>
        <v>0</v>
      </c>
      <c r="I208" s="33"/>
      <c r="J208" s="13"/>
    </row>
    <row r="209" customFormat="false" ht="15.75" hidden="false" customHeight="true" outlineLevel="0" collapsed="false">
      <c r="B209" s="36" t="s">
        <v>236</v>
      </c>
      <c r="C209" s="36" t="s">
        <v>238</v>
      </c>
      <c r="D209" s="4"/>
      <c r="E209" s="36"/>
      <c r="F209" s="36"/>
      <c r="G209" s="37" t="n">
        <v>0</v>
      </c>
      <c r="H209" s="35" t="n">
        <f aca="false">IF(E209="",G209,IF(ISNUMBER(E209),E209*G209,G209))</f>
        <v>0</v>
      </c>
      <c r="I209" s="4"/>
      <c r="J209" s="5"/>
    </row>
    <row r="210" customFormat="false" ht="15.75" hidden="false" customHeight="true" outlineLevel="0" collapsed="false">
      <c r="B210" s="32" t="s">
        <v>236</v>
      </c>
      <c r="C210" s="32" t="s">
        <v>239</v>
      </c>
      <c r="D210" s="33"/>
      <c r="E210" s="32"/>
      <c r="F210" s="32"/>
      <c r="G210" s="34" t="n">
        <v>0</v>
      </c>
      <c r="H210" s="35" t="n">
        <f aca="false">IF(E210="",G210,IF(ISNUMBER(E210),E210*G210,G210))</f>
        <v>0</v>
      </c>
      <c r="I210" s="33"/>
      <c r="J210" s="13"/>
    </row>
    <row r="211" customFormat="false" ht="15.75" hidden="false" customHeight="true" outlineLevel="0" collapsed="false">
      <c r="B211" s="36" t="s">
        <v>236</v>
      </c>
      <c r="C211" s="36" t="s">
        <v>240</v>
      </c>
      <c r="D211" s="4"/>
      <c r="E211" s="36"/>
      <c r="F211" s="36"/>
      <c r="G211" s="37" t="n">
        <v>0</v>
      </c>
      <c r="H211" s="35" t="n">
        <f aca="false">IF(E211="",G211,IF(ISNUMBER(E211),E211*G211,G211))</f>
        <v>0</v>
      </c>
      <c r="I211" s="4"/>
      <c r="J211" s="5"/>
    </row>
    <row r="212" customFormat="false" ht="15.75" hidden="false" customHeight="true" outlineLevel="0" collapsed="false">
      <c r="B212" s="32" t="s">
        <v>236</v>
      </c>
      <c r="C212" s="32" t="s">
        <v>241</v>
      </c>
      <c r="D212" s="33"/>
      <c r="E212" s="32"/>
      <c r="F212" s="32"/>
      <c r="G212" s="34" t="n">
        <v>0</v>
      </c>
      <c r="H212" s="35" t="n">
        <f aca="false">IF(E212="",G212,IF(ISNUMBER(E212),E212*G212,G212))</f>
        <v>0</v>
      </c>
      <c r="I212" s="33"/>
      <c r="J212" s="13"/>
    </row>
    <row r="213" customFormat="false" ht="15.75" hidden="false" customHeight="true" outlineLevel="0" collapsed="false">
      <c r="B213" s="36" t="s">
        <v>236</v>
      </c>
      <c r="C213" s="36" t="s">
        <v>242</v>
      </c>
      <c r="D213" s="4"/>
      <c r="E213" s="36"/>
      <c r="F213" s="36"/>
      <c r="G213" s="37" t="n">
        <v>0</v>
      </c>
      <c r="H213" s="35" t="n">
        <f aca="false">IF(E213="",G213,IF(ISNUMBER(E213),E213*G213,G213))</f>
        <v>0</v>
      </c>
      <c r="I213" s="4"/>
      <c r="J213" s="5"/>
    </row>
    <row r="214" customFormat="false" ht="15.75" hidden="false" customHeight="true" outlineLevel="0" collapsed="false">
      <c r="B214" s="32" t="s">
        <v>236</v>
      </c>
      <c r="C214" s="32" t="s">
        <v>243</v>
      </c>
      <c r="D214" s="33"/>
      <c r="E214" s="32"/>
      <c r="F214" s="32"/>
      <c r="G214" s="34" t="n">
        <v>0</v>
      </c>
      <c r="H214" s="35" t="n">
        <f aca="false">IF(E214="",G214,IF(ISNUMBER(E214),E214*G214,G214))</f>
        <v>0</v>
      </c>
      <c r="I214" s="33"/>
      <c r="J214" s="13"/>
    </row>
    <row r="215" customFormat="false" ht="15.75" hidden="false" customHeight="true" outlineLevel="0" collapsed="false">
      <c r="B215" s="36" t="s">
        <v>236</v>
      </c>
      <c r="C215" s="36" t="s">
        <v>244</v>
      </c>
      <c r="D215" s="4"/>
      <c r="E215" s="36"/>
      <c r="F215" s="36"/>
      <c r="G215" s="37" t="n">
        <v>0</v>
      </c>
      <c r="H215" s="35" t="n">
        <f aca="false">IF(E215="",G215,IF(ISNUMBER(E215),E215*G215,G215))</f>
        <v>0</v>
      </c>
      <c r="I215" s="4"/>
      <c r="J215" s="5"/>
    </row>
    <row r="216" customFormat="false" ht="3" hidden="false" customHeight="true" outlineLevel="0" collapsed="false"/>
    <row r="217" customFormat="false" ht="16.5" hidden="false" customHeight="true" outlineLevel="0" collapsed="false">
      <c r="B217" s="30" t="s">
        <v>245</v>
      </c>
      <c r="C217" s="31"/>
      <c r="D217" s="31"/>
      <c r="E217" s="31"/>
      <c r="F217" s="31"/>
      <c r="G217" s="31"/>
      <c r="H217" s="31"/>
      <c r="I217" s="31"/>
      <c r="J217" s="31"/>
    </row>
    <row r="218" customFormat="false" ht="15.75" hidden="false" customHeight="true" outlineLevel="0" collapsed="false">
      <c r="B218" s="32" t="s">
        <v>246</v>
      </c>
      <c r="C218" s="32" t="s">
        <v>247</v>
      </c>
      <c r="D218" s="33"/>
      <c r="E218" s="32"/>
      <c r="F218" s="32"/>
      <c r="G218" s="34" t="n">
        <v>0</v>
      </c>
      <c r="H218" s="35" t="n">
        <f aca="false">IF(E218="",G218,IF(ISNUMBER(E218),E218*G218,G218))</f>
        <v>0</v>
      </c>
      <c r="I218" s="33"/>
      <c r="J218" s="13"/>
    </row>
    <row r="219" customFormat="false" ht="15.75" hidden="false" customHeight="true" outlineLevel="0" collapsed="false">
      <c r="B219" s="36" t="s">
        <v>246</v>
      </c>
      <c r="C219" s="36" t="s">
        <v>248</v>
      </c>
      <c r="D219" s="4"/>
      <c r="E219" s="36"/>
      <c r="F219" s="36"/>
      <c r="G219" s="37" t="n">
        <v>0</v>
      </c>
      <c r="H219" s="35" t="n">
        <f aca="false">IF(E219="",G219,IF(ISNUMBER(E219),E219*G219,G219))</f>
        <v>0</v>
      </c>
      <c r="I219" s="4"/>
      <c r="J219" s="5"/>
    </row>
    <row r="220" customFormat="false" ht="15.75" hidden="false" customHeight="true" outlineLevel="0" collapsed="false">
      <c r="B220" s="32" t="s">
        <v>246</v>
      </c>
      <c r="C220" s="32" t="s">
        <v>249</v>
      </c>
      <c r="D220" s="33"/>
      <c r="E220" s="32"/>
      <c r="F220" s="32"/>
      <c r="G220" s="34" t="n">
        <v>0</v>
      </c>
      <c r="H220" s="35" t="n">
        <f aca="false">IF(E220="",G220,IF(ISNUMBER(E220),E220*G220,G220))</f>
        <v>0</v>
      </c>
      <c r="I220" s="33"/>
      <c r="J220" s="13"/>
    </row>
    <row r="221" customFormat="false" ht="15.75" hidden="false" customHeight="true" outlineLevel="0" collapsed="false">
      <c r="B221" s="36" t="s">
        <v>246</v>
      </c>
      <c r="C221" s="36" t="s">
        <v>250</v>
      </c>
      <c r="D221" s="4"/>
      <c r="E221" s="36"/>
      <c r="F221" s="36"/>
      <c r="G221" s="37" t="n">
        <v>0</v>
      </c>
      <c r="H221" s="35" t="n">
        <f aca="false">IF(E221="",G221,IF(ISNUMBER(E221),E221*G221,G221))</f>
        <v>0</v>
      </c>
      <c r="I221" s="4"/>
      <c r="J221" s="5"/>
    </row>
    <row r="222" customFormat="false" ht="15.75" hidden="false" customHeight="true" outlineLevel="0" collapsed="false">
      <c r="B222" s="32" t="s">
        <v>246</v>
      </c>
      <c r="C222" s="32" t="s">
        <v>251</v>
      </c>
      <c r="D222" s="33"/>
      <c r="E222" s="32"/>
      <c r="F222" s="32"/>
      <c r="G222" s="34" t="n">
        <v>0</v>
      </c>
      <c r="H222" s="35" t="n">
        <f aca="false">IF(E222="",G222,IF(ISNUMBER(E222),E222*G222,G222))</f>
        <v>0</v>
      </c>
      <c r="I222" s="33"/>
      <c r="J222" s="13"/>
    </row>
    <row r="223" customFormat="false" ht="15.75" hidden="false" customHeight="true" outlineLevel="0" collapsed="false">
      <c r="B223" s="36" t="s">
        <v>246</v>
      </c>
      <c r="C223" s="36" t="s">
        <v>252</v>
      </c>
      <c r="D223" s="4"/>
      <c r="E223" s="36"/>
      <c r="F223" s="36"/>
      <c r="G223" s="37" t="n">
        <v>0</v>
      </c>
      <c r="H223" s="35" t="n">
        <f aca="false">IF(E223="",G223,IF(ISNUMBER(E223),E223*G223,G223))</f>
        <v>0</v>
      </c>
      <c r="I223" s="4"/>
      <c r="J223" s="5"/>
    </row>
    <row r="224" customFormat="false" ht="15.75" hidden="false" customHeight="true" outlineLevel="0" collapsed="false">
      <c r="B224" s="32" t="s">
        <v>246</v>
      </c>
      <c r="C224" s="32" t="s">
        <v>253</v>
      </c>
      <c r="D224" s="33"/>
      <c r="E224" s="32"/>
      <c r="F224" s="32"/>
      <c r="G224" s="34" t="n">
        <v>0</v>
      </c>
      <c r="H224" s="35" t="n">
        <f aca="false">IF(E224="",G224,IF(ISNUMBER(E224),E224*G224,G224))</f>
        <v>0</v>
      </c>
      <c r="I224" s="33"/>
      <c r="J224" s="13"/>
    </row>
    <row r="225" customFormat="false" ht="15.75" hidden="false" customHeight="true" outlineLevel="0" collapsed="false">
      <c r="B225" s="36" t="s">
        <v>246</v>
      </c>
      <c r="C225" s="36" t="s">
        <v>254</v>
      </c>
      <c r="D225" s="4"/>
      <c r="E225" s="36"/>
      <c r="F225" s="36"/>
      <c r="G225" s="37" t="n">
        <v>0</v>
      </c>
      <c r="H225" s="35" t="n">
        <f aca="false">IF(E225="",G225,IF(ISNUMBER(E225),E225*G225,G225))</f>
        <v>0</v>
      </c>
      <c r="I225" s="4"/>
      <c r="J225" s="5"/>
    </row>
    <row r="226" customFormat="false" ht="3" hidden="false" customHeight="true" outlineLevel="0" collapsed="false"/>
    <row r="227" customFormat="false" ht="16.5" hidden="false" customHeight="true" outlineLevel="0" collapsed="false">
      <c r="B227" s="30" t="s">
        <v>255</v>
      </c>
      <c r="C227" s="31"/>
      <c r="D227" s="31"/>
      <c r="E227" s="31"/>
      <c r="F227" s="31"/>
      <c r="G227" s="31"/>
      <c r="H227" s="31"/>
      <c r="I227" s="31"/>
      <c r="J227" s="31"/>
    </row>
    <row r="228" customFormat="false" ht="15.75" hidden="false" customHeight="true" outlineLevel="0" collapsed="false">
      <c r="B228" s="32" t="s">
        <v>256</v>
      </c>
      <c r="C228" s="32" t="s">
        <v>257</v>
      </c>
      <c r="D228" s="33"/>
      <c r="E228" s="32"/>
      <c r="F228" s="32"/>
      <c r="G228" s="34" t="n">
        <v>0</v>
      </c>
      <c r="H228" s="35" t="n">
        <f aca="false">IF(E228="",G228,IF(ISNUMBER(E228),E228*G228,G228))</f>
        <v>0</v>
      </c>
      <c r="I228" s="33"/>
      <c r="J228" s="13"/>
    </row>
    <row r="229" customFormat="false" ht="15.75" hidden="false" customHeight="true" outlineLevel="0" collapsed="false">
      <c r="B229" s="36" t="s">
        <v>256</v>
      </c>
      <c r="C229" s="36" t="s">
        <v>258</v>
      </c>
      <c r="D229" s="4"/>
      <c r="E229" s="36"/>
      <c r="F229" s="36"/>
      <c r="G229" s="37" t="n">
        <v>0</v>
      </c>
      <c r="H229" s="35" t="n">
        <f aca="false">IF(E229="",G229,IF(ISNUMBER(E229),E229*G229,G229))</f>
        <v>0</v>
      </c>
      <c r="I229" s="4"/>
      <c r="J229" s="5"/>
    </row>
    <row r="230" customFormat="false" ht="15.75" hidden="false" customHeight="true" outlineLevel="0" collapsed="false">
      <c r="B230" s="32" t="s">
        <v>256</v>
      </c>
      <c r="C230" s="32" t="s">
        <v>259</v>
      </c>
      <c r="D230" s="33"/>
      <c r="E230" s="32"/>
      <c r="F230" s="32"/>
      <c r="G230" s="34" t="n">
        <v>0</v>
      </c>
      <c r="H230" s="35" t="n">
        <f aca="false">IF(E230="",G230,IF(ISNUMBER(E230),E230*G230,G230))</f>
        <v>0</v>
      </c>
      <c r="I230" s="33"/>
      <c r="J230" s="13"/>
    </row>
    <row r="231" customFormat="false" ht="15.75" hidden="false" customHeight="true" outlineLevel="0" collapsed="false">
      <c r="B231" s="36" t="s">
        <v>256</v>
      </c>
      <c r="C231" s="36" t="s">
        <v>260</v>
      </c>
      <c r="D231" s="4"/>
      <c r="E231" s="36"/>
      <c r="F231" s="36"/>
      <c r="G231" s="37" t="n">
        <v>0</v>
      </c>
      <c r="H231" s="35" t="n">
        <f aca="false">IF(E231="",G231,IF(ISNUMBER(E231),E231*G231,G231))</f>
        <v>0</v>
      </c>
      <c r="I231" s="4"/>
      <c r="J231" s="5"/>
    </row>
    <row r="232" customFormat="false" ht="15.75" hidden="false" customHeight="true" outlineLevel="0" collapsed="false">
      <c r="B232" s="32" t="s">
        <v>256</v>
      </c>
      <c r="C232" s="32" t="s">
        <v>261</v>
      </c>
      <c r="D232" s="33"/>
      <c r="E232" s="32"/>
      <c r="F232" s="32"/>
      <c r="G232" s="34" t="n">
        <v>0</v>
      </c>
      <c r="H232" s="35" t="n">
        <f aca="false">IF(E232="",G232,IF(ISNUMBER(E232),E232*G232,G232))</f>
        <v>0</v>
      </c>
      <c r="I232" s="33"/>
      <c r="J232" s="13"/>
    </row>
    <row r="233" customFormat="false" ht="15.75" hidden="false" customHeight="true" outlineLevel="0" collapsed="false">
      <c r="B233" s="36" t="s">
        <v>256</v>
      </c>
      <c r="C233" s="36" t="s">
        <v>262</v>
      </c>
      <c r="D233" s="4"/>
      <c r="E233" s="36"/>
      <c r="F233" s="36"/>
      <c r="G233" s="37" t="n">
        <v>0</v>
      </c>
      <c r="H233" s="35" t="n">
        <f aca="false">IF(E233="",G233,IF(ISNUMBER(E233),E233*G233,G233))</f>
        <v>0</v>
      </c>
      <c r="I233" s="4"/>
      <c r="J233" s="5"/>
    </row>
    <row r="234" customFormat="false" ht="15.75" hidden="false" customHeight="true" outlineLevel="0" collapsed="false">
      <c r="B234" s="32" t="s">
        <v>256</v>
      </c>
      <c r="C234" s="32" t="s">
        <v>263</v>
      </c>
      <c r="D234" s="33"/>
      <c r="E234" s="32"/>
      <c r="F234" s="32"/>
      <c r="G234" s="34" t="n">
        <v>0</v>
      </c>
      <c r="H234" s="35" t="n">
        <f aca="false">IF(E234="",G234,IF(ISNUMBER(E234),E234*G234,G234))</f>
        <v>0</v>
      </c>
      <c r="I234" s="33"/>
      <c r="J234" s="13"/>
    </row>
    <row r="235" customFormat="false" ht="15.75" hidden="false" customHeight="true" outlineLevel="0" collapsed="false">
      <c r="B235" s="36" t="s">
        <v>256</v>
      </c>
      <c r="C235" s="36" t="s">
        <v>264</v>
      </c>
      <c r="D235" s="4"/>
      <c r="E235" s="36"/>
      <c r="F235" s="36"/>
      <c r="G235" s="37" t="n">
        <v>0</v>
      </c>
      <c r="H235" s="35" t="n">
        <f aca="false">IF(E235="",G235,IF(ISNUMBER(E235),E235*G235,G235))</f>
        <v>0</v>
      </c>
      <c r="I235" s="4"/>
      <c r="J235" s="5"/>
    </row>
    <row r="236" customFormat="false" ht="3" hidden="false" customHeight="true" outlineLevel="0" collapsed="false"/>
    <row r="237" customFormat="false" ht="16.5" hidden="false" customHeight="true" outlineLevel="0" collapsed="false">
      <c r="B237" s="30" t="s">
        <v>265</v>
      </c>
      <c r="C237" s="31"/>
      <c r="D237" s="31"/>
      <c r="E237" s="31"/>
      <c r="F237" s="31"/>
      <c r="G237" s="31"/>
      <c r="H237" s="31"/>
      <c r="I237" s="31"/>
      <c r="J237" s="31"/>
    </row>
    <row r="238" customFormat="false" ht="15.75" hidden="false" customHeight="true" outlineLevel="0" collapsed="false">
      <c r="B238" s="32" t="s">
        <v>266</v>
      </c>
      <c r="C238" s="32" t="s">
        <v>267</v>
      </c>
      <c r="D238" s="33"/>
      <c r="E238" s="32"/>
      <c r="F238" s="32"/>
      <c r="G238" s="34" t="n">
        <v>0</v>
      </c>
      <c r="H238" s="35" t="n">
        <f aca="false">IF(E238="",G238,IF(ISNUMBER(E238),E238*G238,G238))</f>
        <v>0</v>
      </c>
      <c r="I238" s="33"/>
      <c r="J238" s="13"/>
    </row>
    <row r="239" customFormat="false" ht="15.75" hidden="false" customHeight="true" outlineLevel="0" collapsed="false">
      <c r="B239" s="36" t="s">
        <v>266</v>
      </c>
      <c r="C239" s="36" t="s">
        <v>268</v>
      </c>
      <c r="D239" s="4"/>
      <c r="E239" s="36"/>
      <c r="F239" s="36"/>
      <c r="G239" s="37" t="n">
        <v>0</v>
      </c>
      <c r="H239" s="35" t="n">
        <f aca="false">IF(E239="",G239,IF(ISNUMBER(E239),E239*G239,G239))</f>
        <v>0</v>
      </c>
      <c r="I239" s="4"/>
      <c r="J239" s="5"/>
    </row>
    <row r="240" customFormat="false" ht="15.75" hidden="false" customHeight="true" outlineLevel="0" collapsed="false">
      <c r="B240" s="32" t="s">
        <v>266</v>
      </c>
      <c r="C240" s="32" t="s">
        <v>269</v>
      </c>
      <c r="D240" s="33"/>
      <c r="E240" s="32"/>
      <c r="F240" s="32"/>
      <c r="G240" s="34" t="n">
        <v>0</v>
      </c>
      <c r="H240" s="35" t="n">
        <f aca="false">IF(E240="",G240,IF(ISNUMBER(E240),E240*G240,G240))</f>
        <v>0</v>
      </c>
      <c r="I240" s="33"/>
      <c r="J240" s="13"/>
    </row>
    <row r="241" customFormat="false" ht="15.75" hidden="false" customHeight="true" outlineLevel="0" collapsed="false">
      <c r="B241" s="36" t="s">
        <v>266</v>
      </c>
      <c r="C241" s="36" t="s">
        <v>270</v>
      </c>
      <c r="D241" s="4"/>
      <c r="E241" s="36"/>
      <c r="F241" s="36"/>
      <c r="G241" s="37" t="n">
        <v>0</v>
      </c>
      <c r="H241" s="35" t="n">
        <f aca="false">IF(E241="",G241,IF(ISNUMBER(E241),E241*G241,G241))</f>
        <v>0</v>
      </c>
      <c r="I241" s="4"/>
      <c r="J241" s="5"/>
    </row>
    <row r="242" customFormat="false" ht="15.75" hidden="false" customHeight="true" outlineLevel="0" collapsed="false">
      <c r="B242" s="32" t="s">
        <v>266</v>
      </c>
      <c r="C242" s="32" t="s">
        <v>271</v>
      </c>
      <c r="D242" s="33"/>
      <c r="E242" s="32"/>
      <c r="F242" s="32"/>
      <c r="G242" s="34" t="n">
        <v>0</v>
      </c>
      <c r="H242" s="35" t="n">
        <f aca="false">IF(E242="",G242,IF(ISNUMBER(E242),E242*G242,G242))</f>
        <v>0</v>
      </c>
      <c r="I242" s="33"/>
      <c r="J242" s="13"/>
    </row>
    <row r="243" customFormat="false" ht="15.75" hidden="false" customHeight="true" outlineLevel="0" collapsed="false">
      <c r="B243" s="36" t="s">
        <v>266</v>
      </c>
      <c r="C243" s="36" t="s">
        <v>272</v>
      </c>
      <c r="D243" s="4"/>
      <c r="E243" s="36"/>
      <c r="F243" s="36"/>
      <c r="G243" s="37" t="n">
        <v>0</v>
      </c>
      <c r="H243" s="35" t="n">
        <f aca="false">IF(E243="",G243,IF(ISNUMBER(E243),E243*G243,G243))</f>
        <v>0</v>
      </c>
      <c r="I243" s="4"/>
      <c r="J243" s="5"/>
    </row>
    <row r="244" customFormat="false" ht="15.75" hidden="false" customHeight="true" outlineLevel="0" collapsed="false">
      <c r="B244" s="32" t="s">
        <v>266</v>
      </c>
      <c r="C244" s="32" t="s">
        <v>273</v>
      </c>
      <c r="D244" s="33"/>
      <c r="E244" s="32"/>
      <c r="F244" s="32"/>
      <c r="G244" s="34" t="n">
        <v>0</v>
      </c>
      <c r="H244" s="35" t="n">
        <f aca="false">IF(E244="",G244,IF(ISNUMBER(E244),E244*G244,G244))</f>
        <v>0</v>
      </c>
      <c r="I244" s="33"/>
      <c r="J244" s="13"/>
    </row>
    <row r="245" customFormat="false" ht="15.75" hidden="false" customHeight="true" outlineLevel="0" collapsed="false">
      <c r="B245" s="36" t="s">
        <v>266</v>
      </c>
      <c r="C245" s="36" t="s">
        <v>274</v>
      </c>
      <c r="D245" s="4"/>
      <c r="E245" s="36"/>
      <c r="F245" s="36"/>
      <c r="G245" s="37" t="n">
        <v>0</v>
      </c>
      <c r="H245" s="35" t="n">
        <f aca="false">IF(E245="",G245,IF(ISNUMBER(E245),E245*G245,G245))</f>
        <v>0</v>
      </c>
      <c r="I245" s="4"/>
      <c r="J245" s="5"/>
    </row>
    <row r="246" customFormat="false" ht="3" hidden="false" customHeight="true" outlineLevel="0" collapsed="false"/>
    <row r="247" customFormat="false" ht="16.5" hidden="false" customHeight="true" outlineLevel="0" collapsed="false">
      <c r="B247" s="30" t="s">
        <v>275</v>
      </c>
      <c r="C247" s="31"/>
      <c r="D247" s="31"/>
      <c r="E247" s="31"/>
      <c r="F247" s="31"/>
      <c r="G247" s="31"/>
      <c r="H247" s="31"/>
      <c r="I247" s="31"/>
      <c r="J247" s="31"/>
    </row>
    <row r="248" customFormat="false" ht="15.75" hidden="false" customHeight="true" outlineLevel="0" collapsed="false">
      <c r="B248" s="32" t="s">
        <v>276</v>
      </c>
      <c r="C248" s="32" t="s">
        <v>277</v>
      </c>
      <c r="D248" s="33"/>
      <c r="E248" s="32"/>
      <c r="F248" s="32"/>
      <c r="G248" s="34" t="n">
        <v>0</v>
      </c>
      <c r="H248" s="35" t="n">
        <f aca="false">IF(E248="",G248,IF(ISNUMBER(E248),E248*G248,G248))</f>
        <v>0</v>
      </c>
      <c r="I248" s="33"/>
      <c r="J248" s="13"/>
    </row>
    <row r="249" customFormat="false" ht="15.75" hidden="false" customHeight="true" outlineLevel="0" collapsed="false">
      <c r="B249" s="36" t="s">
        <v>276</v>
      </c>
      <c r="C249" s="36" t="s">
        <v>278</v>
      </c>
      <c r="D249" s="4"/>
      <c r="E249" s="36"/>
      <c r="F249" s="36"/>
      <c r="G249" s="37" t="n">
        <v>0</v>
      </c>
      <c r="H249" s="35" t="n">
        <f aca="false">IF(E249="",G249,IF(ISNUMBER(E249),E249*G249,G249))</f>
        <v>0</v>
      </c>
      <c r="I249" s="4"/>
      <c r="J249" s="5"/>
    </row>
    <row r="250" customFormat="false" ht="15.75" hidden="false" customHeight="true" outlineLevel="0" collapsed="false">
      <c r="B250" s="32" t="s">
        <v>276</v>
      </c>
      <c r="C250" s="32" t="s">
        <v>279</v>
      </c>
      <c r="D250" s="33"/>
      <c r="E250" s="32"/>
      <c r="F250" s="32"/>
      <c r="G250" s="34" t="n">
        <v>0</v>
      </c>
      <c r="H250" s="35" t="n">
        <f aca="false">IF(E250="",G250,IF(ISNUMBER(E250),E250*G250,G250))</f>
        <v>0</v>
      </c>
      <c r="I250" s="33"/>
      <c r="J250" s="13"/>
    </row>
    <row r="251" customFormat="false" ht="15.75" hidden="false" customHeight="true" outlineLevel="0" collapsed="false">
      <c r="B251" s="36" t="s">
        <v>276</v>
      </c>
      <c r="C251" s="36" t="s">
        <v>280</v>
      </c>
      <c r="D251" s="4"/>
      <c r="E251" s="36"/>
      <c r="F251" s="36"/>
      <c r="G251" s="37" t="n">
        <v>0</v>
      </c>
      <c r="H251" s="35" t="n">
        <f aca="false">IF(E251="",G251,IF(ISNUMBER(E251),E251*G251,G251))</f>
        <v>0</v>
      </c>
      <c r="I251" s="4"/>
      <c r="J251" s="5"/>
    </row>
    <row r="252" customFormat="false" ht="15.75" hidden="false" customHeight="true" outlineLevel="0" collapsed="false">
      <c r="B252" s="32" t="s">
        <v>276</v>
      </c>
      <c r="C252" s="32" t="s">
        <v>281</v>
      </c>
      <c r="D252" s="33"/>
      <c r="E252" s="32"/>
      <c r="F252" s="32"/>
      <c r="G252" s="34" t="n">
        <v>0</v>
      </c>
      <c r="H252" s="35" t="n">
        <f aca="false">IF(E252="",G252,IF(ISNUMBER(E252),E252*G252,G252))</f>
        <v>0</v>
      </c>
      <c r="I252" s="33"/>
      <c r="J252" s="13"/>
    </row>
    <row r="253" customFormat="false" ht="15.75" hidden="false" customHeight="true" outlineLevel="0" collapsed="false">
      <c r="B253" s="36" t="s">
        <v>276</v>
      </c>
      <c r="C253" s="36" t="s">
        <v>282</v>
      </c>
      <c r="D253" s="4"/>
      <c r="E253" s="36"/>
      <c r="F253" s="36"/>
      <c r="G253" s="37" t="n">
        <v>0</v>
      </c>
      <c r="H253" s="35" t="n">
        <f aca="false">IF(E253="",G253,IF(ISNUMBER(E253),E253*G253,G253))</f>
        <v>0</v>
      </c>
      <c r="I253" s="4"/>
      <c r="J253" s="5"/>
    </row>
    <row r="254" customFormat="false" ht="15.75" hidden="false" customHeight="true" outlineLevel="0" collapsed="false">
      <c r="B254" s="32" t="s">
        <v>276</v>
      </c>
      <c r="C254" s="32" t="s">
        <v>283</v>
      </c>
      <c r="D254" s="33"/>
      <c r="E254" s="32"/>
      <c r="F254" s="32"/>
      <c r="G254" s="34" t="n">
        <v>0</v>
      </c>
      <c r="H254" s="35" t="n">
        <f aca="false">IF(E254="",G254,IF(ISNUMBER(E254),E254*G254,G254))</f>
        <v>0</v>
      </c>
      <c r="I254" s="33"/>
      <c r="J254" s="13"/>
    </row>
    <row r="255" customFormat="false" ht="15.75" hidden="false" customHeight="true" outlineLevel="0" collapsed="false">
      <c r="B255" s="36" t="s">
        <v>276</v>
      </c>
      <c r="C255" s="36" t="s">
        <v>284</v>
      </c>
      <c r="D255" s="4"/>
      <c r="E255" s="36"/>
      <c r="F255" s="36"/>
      <c r="G255" s="37" t="n">
        <v>0</v>
      </c>
      <c r="H255" s="35" t="n">
        <f aca="false">IF(E255="",G255,IF(ISNUMBER(E255),E255*G255,G255))</f>
        <v>0</v>
      </c>
      <c r="I255" s="4"/>
      <c r="J255" s="5"/>
    </row>
    <row r="256" customFormat="false" ht="3" hidden="false" customHeight="true" outlineLevel="0" collapsed="false"/>
    <row r="257" customFormat="false" ht="16.5" hidden="false" customHeight="true" outlineLevel="0" collapsed="false">
      <c r="B257" s="30" t="s">
        <v>285</v>
      </c>
      <c r="C257" s="31"/>
      <c r="D257" s="31"/>
      <c r="E257" s="31"/>
      <c r="F257" s="31"/>
      <c r="G257" s="31"/>
      <c r="H257" s="31"/>
      <c r="I257" s="31"/>
      <c r="J257" s="31"/>
    </row>
    <row r="258" customFormat="false" ht="15.75" hidden="false" customHeight="true" outlineLevel="0" collapsed="false">
      <c r="B258" s="32" t="s">
        <v>286</v>
      </c>
      <c r="C258" s="32" t="s">
        <v>287</v>
      </c>
      <c r="D258" s="33"/>
      <c r="E258" s="32"/>
      <c r="F258" s="32"/>
      <c r="G258" s="34" t="n">
        <v>0</v>
      </c>
      <c r="H258" s="35" t="n">
        <f aca="false">IF(E258="",G258,IF(ISNUMBER(E258),E258*G258,G258))</f>
        <v>0</v>
      </c>
      <c r="I258" s="33"/>
      <c r="J258" s="13"/>
    </row>
    <row r="259" customFormat="false" ht="15.75" hidden="false" customHeight="true" outlineLevel="0" collapsed="false">
      <c r="B259" s="36" t="s">
        <v>286</v>
      </c>
      <c r="C259" s="36" t="s">
        <v>288</v>
      </c>
      <c r="D259" s="4"/>
      <c r="E259" s="36"/>
      <c r="F259" s="36"/>
      <c r="G259" s="37" t="n">
        <v>0</v>
      </c>
      <c r="H259" s="35" t="n">
        <f aca="false">IF(E259="",G259,IF(ISNUMBER(E259),E259*G259,G259))</f>
        <v>0</v>
      </c>
      <c r="I259" s="4"/>
      <c r="J259" s="5"/>
    </row>
    <row r="260" customFormat="false" ht="15.75" hidden="false" customHeight="true" outlineLevel="0" collapsed="false">
      <c r="B260" s="32" t="s">
        <v>286</v>
      </c>
      <c r="C260" s="32" t="s">
        <v>289</v>
      </c>
      <c r="D260" s="33"/>
      <c r="E260" s="32"/>
      <c r="F260" s="32"/>
      <c r="G260" s="34" t="n">
        <v>0</v>
      </c>
      <c r="H260" s="35" t="n">
        <f aca="false">IF(E260="",G260,IF(ISNUMBER(E260),E260*G260,G260))</f>
        <v>0</v>
      </c>
      <c r="I260" s="33"/>
      <c r="J260" s="13"/>
    </row>
    <row r="261" customFormat="false" ht="15.75" hidden="false" customHeight="true" outlineLevel="0" collapsed="false">
      <c r="B261" s="36" t="s">
        <v>286</v>
      </c>
      <c r="C261" s="36" t="s">
        <v>290</v>
      </c>
      <c r="D261" s="4"/>
      <c r="E261" s="36"/>
      <c r="F261" s="36"/>
      <c r="G261" s="37" t="n">
        <v>0</v>
      </c>
      <c r="H261" s="35" t="n">
        <f aca="false">IF(E261="",G261,IF(ISNUMBER(E261),E261*G261,G261))</f>
        <v>0</v>
      </c>
      <c r="I261" s="4"/>
      <c r="J261" s="5"/>
    </row>
    <row r="262" customFormat="false" ht="15.75" hidden="false" customHeight="true" outlineLevel="0" collapsed="false">
      <c r="B262" s="32" t="s">
        <v>286</v>
      </c>
      <c r="C262" s="32" t="s">
        <v>291</v>
      </c>
      <c r="D262" s="33"/>
      <c r="E262" s="32"/>
      <c r="F262" s="32"/>
      <c r="G262" s="34" t="n">
        <v>0</v>
      </c>
      <c r="H262" s="35" t="n">
        <f aca="false">IF(E262="",G262,IF(ISNUMBER(E262),E262*G262,G262))</f>
        <v>0</v>
      </c>
      <c r="I262" s="33"/>
      <c r="J262" s="13"/>
    </row>
    <row r="263" customFormat="false" ht="15.75" hidden="false" customHeight="true" outlineLevel="0" collapsed="false">
      <c r="B263" s="36" t="s">
        <v>286</v>
      </c>
      <c r="C263" s="36" t="s">
        <v>292</v>
      </c>
      <c r="D263" s="4"/>
      <c r="E263" s="36"/>
      <c r="F263" s="36"/>
      <c r="G263" s="37" t="n">
        <v>0</v>
      </c>
      <c r="H263" s="35" t="n">
        <f aca="false">IF(E263="",G263,IF(ISNUMBER(E263),E263*G263,G263))</f>
        <v>0</v>
      </c>
      <c r="I263" s="4"/>
      <c r="J263" s="5"/>
    </row>
    <row r="264" customFormat="false" ht="15.75" hidden="false" customHeight="true" outlineLevel="0" collapsed="false">
      <c r="B264" s="32" t="s">
        <v>286</v>
      </c>
      <c r="C264" s="32" t="s">
        <v>293</v>
      </c>
      <c r="D264" s="33"/>
      <c r="E264" s="32"/>
      <c r="F264" s="32"/>
      <c r="G264" s="34" t="n">
        <v>0</v>
      </c>
      <c r="H264" s="35" t="n">
        <f aca="false">IF(E264="",G264,IF(ISNUMBER(E264),E264*G264,G264))</f>
        <v>0</v>
      </c>
      <c r="I264" s="33"/>
      <c r="J264" s="13"/>
    </row>
    <row r="265" customFormat="false" ht="15.75" hidden="false" customHeight="true" outlineLevel="0" collapsed="false">
      <c r="B265" s="36" t="s">
        <v>286</v>
      </c>
      <c r="C265" s="36" t="s">
        <v>294</v>
      </c>
      <c r="D265" s="4"/>
      <c r="E265" s="36"/>
      <c r="F265" s="36"/>
      <c r="G265" s="37" t="n">
        <v>0</v>
      </c>
      <c r="H265" s="35" t="n">
        <f aca="false">IF(E265="",G265,IF(ISNUMBER(E265),E265*G265,G265))</f>
        <v>0</v>
      </c>
      <c r="I265" s="4"/>
      <c r="J265" s="5"/>
    </row>
    <row r="266" customFormat="false" ht="3" hidden="false" customHeight="true" outlineLevel="0" collapsed="false"/>
    <row r="267" customFormat="false" ht="16.5" hidden="false" customHeight="true" outlineLevel="0" collapsed="false">
      <c r="B267" s="30" t="s">
        <v>295</v>
      </c>
      <c r="C267" s="31"/>
      <c r="D267" s="31"/>
      <c r="E267" s="31"/>
      <c r="F267" s="31"/>
      <c r="G267" s="31"/>
      <c r="H267" s="31"/>
      <c r="I267" s="31"/>
      <c r="J267" s="31"/>
    </row>
    <row r="268" customFormat="false" ht="15.75" hidden="false" customHeight="true" outlineLevel="0" collapsed="false">
      <c r="B268" s="32" t="s">
        <v>296</v>
      </c>
      <c r="C268" s="32" t="s">
        <v>297</v>
      </c>
      <c r="D268" s="33"/>
      <c r="E268" s="32"/>
      <c r="F268" s="32"/>
      <c r="G268" s="34" t="n">
        <v>0</v>
      </c>
      <c r="H268" s="35" t="n">
        <f aca="false">IF(E268="",G268,IF(ISNUMBER(E268),E268*G268,G268))</f>
        <v>0</v>
      </c>
      <c r="I268" s="33"/>
      <c r="J268" s="13"/>
    </row>
    <row r="269" customFormat="false" ht="15.75" hidden="false" customHeight="true" outlineLevel="0" collapsed="false">
      <c r="B269" s="36" t="s">
        <v>296</v>
      </c>
      <c r="C269" s="36" t="s">
        <v>298</v>
      </c>
      <c r="D269" s="4"/>
      <c r="E269" s="36"/>
      <c r="F269" s="36"/>
      <c r="G269" s="37" t="n">
        <v>0</v>
      </c>
      <c r="H269" s="35" t="n">
        <f aca="false">IF(E269="",G269,IF(ISNUMBER(E269),E269*G269,G269))</f>
        <v>0</v>
      </c>
      <c r="I269" s="4"/>
      <c r="J269" s="5"/>
    </row>
    <row r="270" customFormat="false" ht="15.75" hidden="false" customHeight="true" outlineLevel="0" collapsed="false">
      <c r="B270" s="32" t="s">
        <v>296</v>
      </c>
      <c r="C270" s="32" t="s">
        <v>299</v>
      </c>
      <c r="D270" s="33"/>
      <c r="E270" s="32"/>
      <c r="F270" s="32"/>
      <c r="G270" s="34" t="n">
        <v>0</v>
      </c>
      <c r="H270" s="35" t="n">
        <f aca="false">IF(E270="",G270,IF(ISNUMBER(E270),E270*G270,G270))</f>
        <v>0</v>
      </c>
      <c r="I270" s="33"/>
      <c r="J270" s="13"/>
    </row>
    <row r="271" customFormat="false" ht="15.75" hidden="false" customHeight="true" outlineLevel="0" collapsed="false">
      <c r="B271" s="36" t="s">
        <v>296</v>
      </c>
      <c r="C271" s="36" t="s">
        <v>300</v>
      </c>
      <c r="D271" s="4"/>
      <c r="E271" s="36"/>
      <c r="F271" s="36"/>
      <c r="G271" s="37" t="n">
        <v>0</v>
      </c>
      <c r="H271" s="35" t="n">
        <f aca="false">IF(E271="",G271,IF(ISNUMBER(E271),E271*G271,G271))</f>
        <v>0</v>
      </c>
      <c r="I271" s="4"/>
      <c r="J271" s="5"/>
    </row>
    <row r="272" customFormat="false" ht="15.75" hidden="false" customHeight="true" outlineLevel="0" collapsed="false">
      <c r="B272" s="32" t="s">
        <v>296</v>
      </c>
      <c r="C272" s="32" t="s">
        <v>301</v>
      </c>
      <c r="D272" s="33"/>
      <c r="E272" s="32"/>
      <c r="F272" s="32"/>
      <c r="G272" s="34" t="n">
        <v>0</v>
      </c>
      <c r="H272" s="35" t="n">
        <f aca="false">IF(E272="",G272,IF(ISNUMBER(E272),E272*G272,G272))</f>
        <v>0</v>
      </c>
      <c r="I272" s="33"/>
      <c r="J272" s="13"/>
    </row>
    <row r="273" customFormat="false" ht="15.75" hidden="false" customHeight="true" outlineLevel="0" collapsed="false">
      <c r="B273" s="36" t="s">
        <v>296</v>
      </c>
      <c r="C273" s="36" t="s">
        <v>302</v>
      </c>
      <c r="D273" s="4"/>
      <c r="E273" s="36"/>
      <c r="F273" s="36"/>
      <c r="G273" s="37" t="n">
        <v>0</v>
      </c>
      <c r="H273" s="35" t="n">
        <f aca="false">IF(E273="",G273,IF(ISNUMBER(E273),E273*G273,G273))</f>
        <v>0</v>
      </c>
      <c r="I273" s="4"/>
      <c r="J273" s="5"/>
    </row>
    <row r="274" customFormat="false" ht="15.75" hidden="false" customHeight="true" outlineLevel="0" collapsed="false">
      <c r="B274" s="32" t="s">
        <v>296</v>
      </c>
      <c r="C274" s="32" t="s">
        <v>303</v>
      </c>
      <c r="D274" s="33"/>
      <c r="E274" s="32"/>
      <c r="F274" s="32"/>
      <c r="G274" s="34" t="n">
        <v>0</v>
      </c>
      <c r="H274" s="35" t="n">
        <f aca="false">IF(E274="",G274,IF(ISNUMBER(E274),E274*G274,G274))</f>
        <v>0</v>
      </c>
      <c r="I274" s="33"/>
      <c r="J274" s="13"/>
    </row>
    <row r="275" customFormat="false" ht="15.75" hidden="false" customHeight="true" outlineLevel="0" collapsed="false">
      <c r="B275" s="36" t="s">
        <v>296</v>
      </c>
      <c r="C275" s="36" t="s">
        <v>304</v>
      </c>
      <c r="D275" s="4"/>
      <c r="E275" s="36"/>
      <c r="F275" s="36"/>
      <c r="G275" s="37" t="n">
        <v>0</v>
      </c>
      <c r="H275" s="35" t="n">
        <f aca="false">IF(E275="",G275,IF(ISNUMBER(E275),E275*G275,G275))</f>
        <v>0</v>
      </c>
      <c r="I275" s="4"/>
      <c r="J275" s="5"/>
    </row>
    <row r="276" customFormat="false" ht="3" hidden="false" customHeight="true" outlineLevel="0" collapsed="false"/>
    <row r="277" customFormat="false" ht="16.5" hidden="false" customHeight="true" outlineLevel="0" collapsed="false">
      <c r="B277" s="30" t="s">
        <v>305</v>
      </c>
      <c r="C277" s="31"/>
      <c r="D277" s="31"/>
      <c r="E277" s="31"/>
      <c r="F277" s="31"/>
      <c r="G277" s="31"/>
      <c r="H277" s="31"/>
      <c r="I277" s="31"/>
      <c r="J277" s="31"/>
    </row>
    <row r="278" customFormat="false" ht="15.75" hidden="false" customHeight="true" outlineLevel="0" collapsed="false">
      <c r="B278" s="32" t="s">
        <v>306</v>
      </c>
      <c r="C278" s="32" t="s">
        <v>307</v>
      </c>
      <c r="D278" s="33"/>
      <c r="E278" s="32"/>
      <c r="F278" s="32"/>
      <c r="G278" s="34" t="n">
        <v>0</v>
      </c>
      <c r="H278" s="35" t="n">
        <f aca="false">IF(E278="",G278,IF(ISNUMBER(E278),E278*G278,G278))</f>
        <v>0</v>
      </c>
      <c r="I278" s="33"/>
      <c r="J278" s="13"/>
    </row>
    <row r="279" customFormat="false" ht="15.75" hidden="false" customHeight="true" outlineLevel="0" collapsed="false">
      <c r="B279" s="36" t="s">
        <v>306</v>
      </c>
      <c r="C279" s="36" t="s">
        <v>308</v>
      </c>
      <c r="D279" s="4"/>
      <c r="E279" s="36"/>
      <c r="F279" s="36"/>
      <c r="G279" s="37" t="n">
        <v>0</v>
      </c>
      <c r="H279" s="35" t="n">
        <f aca="false">IF(E279="",G279,IF(ISNUMBER(E279),E279*G279,G279))</f>
        <v>0</v>
      </c>
      <c r="I279" s="4"/>
      <c r="J279" s="5"/>
    </row>
    <row r="280" customFormat="false" ht="15.75" hidden="false" customHeight="true" outlineLevel="0" collapsed="false">
      <c r="B280" s="32" t="s">
        <v>306</v>
      </c>
      <c r="C280" s="32" t="s">
        <v>309</v>
      </c>
      <c r="D280" s="33"/>
      <c r="E280" s="32"/>
      <c r="F280" s="32"/>
      <c r="G280" s="34" t="n">
        <v>0</v>
      </c>
      <c r="H280" s="35" t="n">
        <f aca="false">IF(E280="",G280,IF(ISNUMBER(E280),E280*G280,G280))</f>
        <v>0</v>
      </c>
      <c r="I280" s="33"/>
      <c r="J280" s="13"/>
    </row>
    <row r="281" customFormat="false" ht="15.75" hidden="false" customHeight="true" outlineLevel="0" collapsed="false">
      <c r="B281" s="36" t="s">
        <v>306</v>
      </c>
      <c r="C281" s="36" t="s">
        <v>310</v>
      </c>
      <c r="D281" s="4"/>
      <c r="E281" s="36"/>
      <c r="F281" s="36"/>
      <c r="G281" s="37" t="n">
        <v>0</v>
      </c>
      <c r="H281" s="35" t="n">
        <f aca="false">IF(E281="",G281,IF(ISNUMBER(E281),E281*G281,G281))</f>
        <v>0</v>
      </c>
      <c r="I281" s="4"/>
      <c r="J281" s="5"/>
    </row>
    <row r="282" customFormat="false" ht="15.75" hidden="false" customHeight="true" outlineLevel="0" collapsed="false">
      <c r="B282" s="32" t="s">
        <v>306</v>
      </c>
      <c r="C282" s="32" t="s">
        <v>311</v>
      </c>
      <c r="D282" s="33"/>
      <c r="E282" s="32"/>
      <c r="F282" s="32"/>
      <c r="G282" s="34" t="n">
        <v>0</v>
      </c>
      <c r="H282" s="35" t="n">
        <f aca="false">IF(E282="",G282,IF(ISNUMBER(E282),E282*G282,G282))</f>
        <v>0</v>
      </c>
      <c r="I282" s="33"/>
      <c r="J282" s="13"/>
    </row>
    <row r="283" customFormat="false" ht="15.75" hidden="false" customHeight="true" outlineLevel="0" collapsed="false">
      <c r="B283" s="36" t="s">
        <v>306</v>
      </c>
      <c r="C283" s="36" t="s">
        <v>312</v>
      </c>
      <c r="D283" s="4"/>
      <c r="E283" s="36"/>
      <c r="F283" s="36"/>
      <c r="G283" s="37" t="n">
        <v>0</v>
      </c>
      <c r="H283" s="35" t="n">
        <f aca="false">IF(E283="",G283,IF(ISNUMBER(E283),E283*G283,G283))</f>
        <v>0</v>
      </c>
      <c r="I283" s="4"/>
      <c r="J283" s="5"/>
    </row>
    <row r="284" customFormat="false" ht="15.75" hidden="false" customHeight="true" outlineLevel="0" collapsed="false">
      <c r="B284" s="32" t="s">
        <v>306</v>
      </c>
      <c r="C284" s="32" t="s">
        <v>313</v>
      </c>
      <c r="D284" s="33"/>
      <c r="E284" s="32"/>
      <c r="F284" s="32"/>
      <c r="G284" s="34" t="n">
        <v>0</v>
      </c>
      <c r="H284" s="35" t="n">
        <f aca="false">IF(E284="",G284,IF(ISNUMBER(E284),E284*G284,G284))</f>
        <v>0</v>
      </c>
      <c r="I284" s="33"/>
      <c r="J284" s="13"/>
    </row>
    <row r="285" customFormat="false" ht="15.75" hidden="false" customHeight="true" outlineLevel="0" collapsed="false">
      <c r="B285" s="36" t="s">
        <v>306</v>
      </c>
      <c r="C285" s="36" t="s">
        <v>314</v>
      </c>
      <c r="D285" s="4"/>
      <c r="E285" s="36"/>
      <c r="F285" s="36"/>
      <c r="G285" s="37" t="n">
        <v>0</v>
      </c>
      <c r="H285" s="35" t="n">
        <f aca="false">IF(E285="",G285,IF(ISNUMBER(E285),E285*G285,G285))</f>
        <v>0</v>
      </c>
      <c r="I285" s="4"/>
      <c r="J285" s="5"/>
    </row>
    <row r="286" customFormat="false" ht="3" hidden="false" customHeight="true" outlineLevel="0" collapsed="false"/>
    <row r="287" customFormat="false" ht="16.5" hidden="false" customHeight="true" outlineLevel="0" collapsed="false">
      <c r="B287" s="30" t="s">
        <v>315</v>
      </c>
      <c r="C287" s="31"/>
      <c r="D287" s="31"/>
      <c r="E287" s="31"/>
      <c r="F287" s="31"/>
      <c r="G287" s="31"/>
      <c r="H287" s="31"/>
      <c r="I287" s="31"/>
      <c r="J287" s="31"/>
    </row>
    <row r="288" customFormat="false" ht="15.75" hidden="false" customHeight="true" outlineLevel="0" collapsed="false">
      <c r="B288" s="32" t="s">
        <v>316</v>
      </c>
      <c r="C288" s="32" t="s">
        <v>317</v>
      </c>
      <c r="D288" s="33"/>
      <c r="E288" s="32"/>
      <c r="F288" s="32"/>
      <c r="G288" s="34" t="n">
        <v>0</v>
      </c>
      <c r="H288" s="35" t="n">
        <f aca="false">IF(E288="",G288,IF(ISNUMBER(E288),E288*G288,G288))</f>
        <v>0</v>
      </c>
      <c r="I288" s="33"/>
      <c r="J288" s="13"/>
    </row>
    <row r="289" customFormat="false" ht="15.75" hidden="false" customHeight="true" outlineLevel="0" collapsed="false">
      <c r="B289" s="36" t="s">
        <v>316</v>
      </c>
      <c r="C289" s="36" t="s">
        <v>318</v>
      </c>
      <c r="D289" s="4"/>
      <c r="E289" s="36"/>
      <c r="F289" s="36"/>
      <c r="G289" s="37" t="n">
        <v>0</v>
      </c>
      <c r="H289" s="35" t="n">
        <f aca="false">IF(E289="",G289,IF(ISNUMBER(E289),E289*G289,G289))</f>
        <v>0</v>
      </c>
      <c r="I289" s="4"/>
      <c r="J289" s="5"/>
    </row>
    <row r="290" customFormat="false" ht="15.75" hidden="false" customHeight="true" outlineLevel="0" collapsed="false">
      <c r="B290" s="32" t="s">
        <v>316</v>
      </c>
      <c r="C290" s="32" t="s">
        <v>319</v>
      </c>
      <c r="D290" s="33"/>
      <c r="E290" s="32"/>
      <c r="F290" s="32"/>
      <c r="G290" s="34" t="n">
        <v>0</v>
      </c>
      <c r="H290" s="35" t="n">
        <f aca="false">IF(E290="",G290,IF(ISNUMBER(E290),E290*G290,G290))</f>
        <v>0</v>
      </c>
      <c r="I290" s="33"/>
      <c r="J290" s="13"/>
    </row>
    <row r="291" customFormat="false" ht="15.75" hidden="false" customHeight="true" outlineLevel="0" collapsed="false">
      <c r="B291" s="36" t="s">
        <v>316</v>
      </c>
      <c r="C291" s="36" t="s">
        <v>320</v>
      </c>
      <c r="D291" s="4"/>
      <c r="E291" s="36"/>
      <c r="F291" s="36"/>
      <c r="G291" s="37" t="n">
        <v>0</v>
      </c>
      <c r="H291" s="35" t="n">
        <f aca="false">IF(E291="",G291,IF(ISNUMBER(E291),E291*G291,G291))</f>
        <v>0</v>
      </c>
      <c r="I291" s="4"/>
      <c r="J291" s="5"/>
    </row>
    <row r="292" customFormat="false" ht="15.75" hidden="false" customHeight="true" outlineLevel="0" collapsed="false">
      <c r="B292" s="32" t="s">
        <v>316</v>
      </c>
      <c r="C292" s="32" t="s">
        <v>321</v>
      </c>
      <c r="D292" s="33"/>
      <c r="E292" s="32"/>
      <c r="F292" s="32"/>
      <c r="G292" s="34" t="n">
        <v>0</v>
      </c>
      <c r="H292" s="35" t="n">
        <f aca="false">IF(E292="",G292,IF(ISNUMBER(E292),E292*G292,G292))</f>
        <v>0</v>
      </c>
      <c r="I292" s="33"/>
      <c r="J292" s="13"/>
    </row>
    <row r="293" customFormat="false" ht="15.75" hidden="false" customHeight="true" outlineLevel="0" collapsed="false">
      <c r="B293" s="36" t="s">
        <v>316</v>
      </c>
      <c r="C293" s="36" t="s">
        <v>322</v>
      </c>
      <c r="D293" s="4"/>
      <c r="E293" s="36"/>
      <c r="F293" s="36"/>
      <c r="G293" s="37" t="n">
        <v>0</v>
      </c>
      <c r="H293" s="35" t="n">
        <f aca="false">IF(E293="",G293,IF(ISNUMBER(E293),E293*G293,G293))</f>
        <v>0</v>
      </c>
      <c r="I293" s="4"/>
      <c r="J293" s="5"/>
    </row>
    <row r="294" customFormat="false" ht="15.75" hidden="false" customHeight="true" outlineLevel="0" collapsed="false">
      <c r="B294" s="32" t="s">
        <v>316</v>
      </c>
      <c r="C294" s="32" t="s">
        <v>323</v>
      </c>
      <c r="D294" s="33"/>
      <c r="E294" s="32"/>
      <c r="F294" s="32"/>
      <c r="G294" s="34" t="n">
        <v>0</v>
      </c>
      <c r="H294" s="35" t="n">
        <f aca="false">IF(E294="",G294,IF(ISNUMBER(E294),E294*G294,G294))</f>
        <v>0</v>
      </c>
      <c r="I294" s="33"/>
      <c r="J294" s="13"/>
    </row>
    <row r="295" customFormat="false" ht="15.75" hidden="false" customHeight="true" outlineLevel="0" collapsed="false">
      <c r="B295" s="36" t="s">
        <v>316</v>
      </c>
      <c r="C295" s="36" t="s">
        <v>324</v>
      </c>
      <c r="D295" s="4"/>
      <c r="E295" s="36"/>
      <c r="F295" s="36"/>
      <c r="G295" s="37" t="n">
        <v>0</v>
      </c>
      <c r="H295" s="35" t="n">
        <f aca="false">IF(E295="",G295,IF(ISNUMBER(E295),E295*G295,G295))</f>
        <v>0</v>
      </c>
      <c r="I295" s="4"/>
      <c r="J295" s="5"/>
    </row>
    <row r="296" customFormat="false" ht="3" hidden="false" customHeight="true" outlineLevel="0" collapsed="false"/>
    <row r="297" customFormat="false" ht="16.5" hidden="false" customHeight="true" outlineLevel="0" collapsed="false">
      <c r="B297" s="30" t="s">
        <v>325</v>
      </c>
      <c r="C297" s="31"/>
      <c r="D297" s="31"/>
      <c r="E297" s="31"/>
      <c r="F297" s="31"/>
      <c r="G297" s="31"/>
      <c r="H297" s="31"/>
      <c r="I297" s="31"/>
      <c r="J297" s="31"/>
    </row>
    <row r="298" customFormat="false" ht="15.75" hidden="false" customHeight="true" outlineLevel="0" collapsed="false">
      <c r="B298" s="32" t="s">
        <v>326</v>
      </c>
      <c r="C298" s="32" t="s">
        <v>327</v>
      </c>
      <c r="D298" s="33"/>
      <c r="E298" s="32"/>
      <c r="F298" s="32"/>
      <c r="G298" s="34" t="n">
        <v>0</v>
      </c>
      <c r="H298" s="35" t="n">
        <f aca="false">IF(E298="",G298,IF(ISNUMBER(E298),E298*G298,G298))</f>
        <v>0</v>
      </c>
      <c r="I298" s="33"/>
      <c r="J298" s="13"/>
    </row>
    <row r="299" customFormat="false" ht="15.75" hidden="false" customHeight="true" outlineLevel="0" collapsed="false">
      <c r="B299" s="36" t="s">
        <v>326</v>
      </c>
      <c r="C299" s="36" t="s">
        <v>328</v>
      </c>
      <c r="D299" s="4"/>
      <c r="E299" s="36"/>
      <c r="F299" s="36"/>
      <c r="G299" s="37" t="n">
        <v>0</v>
      </c>
      <c r="H299" s="35" t="n">
        <f aca="false">IF(E299="",G299,IF(ISNUMBER(E299),E299*G299,G299))</f>
        <v>0</v>
      </c>
      <c r="I299" s="4"/>
      <c r="J299" s="5"/>
    </row>
    <row r="300" customFormat="false" ht="15.75" hidden="false" customHeight="true" outlineLevel="0" collapsed="false">
      <c r="B300" s="32" t="s">
        <v>326</v>
      </c>
      <c r="C300" s="32" t="s">
        <v>329</v>
      </c>
      <c r="D300" s="33"/>
      <c r="E300" s="32"/>
      <c r="F300" s="32"/>
      <c r="G300" s="34" t="n">
        <v>0</v>
      </c>
      <c r="H300" s="35" t="n">
        <f aca="false">IF(E300="",G300,IF(ISNUMBER(E300),E300*G300,G300))</f>
        <v>0</v>
      </c>
      <c r="I300" s="33"/>
      <c r="J300" s="13"/>
    </row>
    <row r="301" customFormat="false" ht="15.75" hidden="false" customHeight="true" outlineLevel="0" collapsed="false">
      <c r="B301" s="36" t="s">
        <v>326</v>
      </c>
      <c r="C301" s="36" t="s">
        <v>330</v>
      </c>
      <c r="D301" s="4"/>
      <c r="E301" s="36"/>
      <c r="F301" s="36"/>
      <c r="G301" s="37" t="n">
        <v>0</v>
      </c>
      <c r="H301" s="35" t="n">
        <f aca="false">IF(E301="",G301,IF(ISNUMBER(E301),E301*G301,G301))</f>
        <v>0</v>
      </c>
      <c r="I301" s="4"/>
      <c r="J301" s="5"/>
    </row>
    <row r="302" customFormat="false" ht="15.75" hidden="false" customHeight="true" outlineLevel="0" collapsed="false">
      <c r="B302" s="32" t="s">
        <v>326</v>
      </c>
      <c r="C302" s="32" t="s">
        <v>331</v>
      </c>
      <c r="D302" s="33"/>
      <c r="E302" s="32"/>
      <c r="F302" s="32"/>
      <c r="G302" s="34" t="n">
        <v>0</v>
      </c>
      <c r="H302" s="35" t="n">
        <f aca="false">IF(E302="",G302,IF(ISNUMBER(E302),E302*G302,G302))</f>
        <v>0</v>
      </c>
      <c r="I302" s="33"/>
      <c r="J302" s="13"/>
    </row>
    <row r="303" customFormat="false" ht="15.75" hidden="false" customHeight="true" outlineLevel="0" collapsed="false">
      <c r="B303" s="36" t="s">
        <v>326</v>
      </c>
      <c r="C303" s="36" t="s">
        <v>332</v>
      </c>
      <c r="D303" s="4"/>
      <c r="E303" s="36"/>
      <c r="F303" s="36"/>
      <c r="G303" s="37" t="n">
        <v>0</v>
      </c>
      <c r="H303" s="35" t="n">
        <f aca="false">IF(E303="",G303,IF(ISNUMBER(E303),E303*G303,G303))</f>
        <v>0</v>
      </c>
      <c r="I303" s="4"/>
      <c r="J303" s="5"/>
    </row>
    <row r="304" customFormat="false" ht="15.75" hidden="false" customHeight="true" outlineLevel="0" collapsed="false">
      <c r="B304" s="32" t="s">
        <v>326</v>
      </c>
      <c r="C304" s="32" t="s">
        <v>333</v>
      </c>
      <c r="D304" s="33"/>
      <c r="E304" s="32"/>
      <c r="F304" s="32"/>
      <c r="G304" s="34" t="n">
        <v>0</v>
      </c>
      <c r="H304" s="35" t="n">
        <f aca="false">IF(E304="",G304,IF(ISNUMBER(E304),E304*G304,G304))</f>
        <v>0</v>
      </c>
      <c r="I304" s="33"/>
      <c r="J304" s="13"/>
    </row>
    <row r="305" customFormat="false" ht="15.75" hidden="false" customHeight="true" outlineLevel="0" collapsed="false">
      <c r="B305" s="36" t="s">
        <v>326</v>
      </c>
      <c r="C305" s="36" t="s">
        <v>334</v>
      </c>
      <c r="D305" s="4"/>
      <c r="E305" s="36"/>
      <c r="F305" s="36"/>
      <c r="G305" s="37" t="n">
        <v>0</v>
      </c>
      <c r="H305" s="35" t="n">
        <f aca="false">IF(E305="",G305,IF(ISNUMBER(E305),E305*G305,G305))</f>
        <v>0</v>
      </c>
      <c r="I305" s="4"/>
      <c r="J305" s="5"/>
    </row>
    <row r="306" customFormat="false" ht="3" hidden="false" customHeight="true" outlineLevel="0" collapsed="false"/>
    <row r="307" customFormat="false" ht="16.5" hidden="false" customHeight="true" outlineLevel="0" collapsed="false">
      <c r="B307" s="30" t="s">
        <v>335</v>
      </c>
      <c r="C307" s="31"/>
      <c r="D307" s="31"/>
      <c r="E307" s="31"/>
      <c r="F307" s="31"/>
      <c r="G307" s="31"/>
      <c r="H307" s="31"/>
      <c r="I307" s="31"/>
      <c r="J307" s="31"/>
    </row>
    <row r="308" customFormat="false" ht="15.75" hidden="false" customHeight="true" outlineLevel="0" collapsed="false">
      <c r="B308" s="32" t="s">
        <v>336</v>
      </c>
      <c r="C308" s="32" t="s">
        <v>337</v>
      </c>
      <c r="D308" s="33"/>
      <c r="E308" s="32"/>
      <c r="F308" s="32"/>
      <c r="G308" s="34" t="n">
        <v>0</v>
      </c>
      <c r="H308" s="35" t="n">
        <f aca="false">IF(E308="",G308,IF(ISNUMBER(E308),E308*G308,G308))</f>
        <v>0</v>
      </c>
      <c r="I308" s="33"/>
      <c r="J308" s="13"/>
    </row>
    <row r="309" customFormat="false" ht="15.75" hidden="false" customHeight="true" outlineLevel="0" collapsed="false">
      <c r="B309" s="36" t="s">
        <v>336</v>
      </c>
      <c r="C309" s="36" t="s">
        <v>338</v>
      </c>
      <c r="D309" s="4"/>
      <c r="E309" s="36"/>
      <c r="F309" s="36"/>
      <c r="G309" s="37" t="n">
        <v>0</v>
      </c>
      <c r="H309" s="35" t="n">
        <f aca="false">IF(E309="",G309,IF(ISNUMBER(E309),E309*G309,G309))</f>
        <v>0</v>
      </c>
      <c r="I309" s="4"/>
      <c r="J309" s="5"/>
    </row>
    <row r="310" customFormat="false" ht="15.75" hidden="false" customHeight="true" outlineLevel="0" collapsed="false">
      <c r="B310" s="32" t="s">
        <v>336</v>
      </c>
      <c r="C310" s="32" t="s">
        <v>339</v>
      </c>
      <c r="D310" s="33"/>
      <c r="E310" s="32"/>
      <c r="F310" s="32"/>
      <c r="G310" s="34" t="n">
        <v>0</v>
      </c>
      <c r="H310" s="35" t="n">
        <f aca="false">IF(E310="",G310,IF(ISNUMBER(E310),E310*G310,G310))</f>
        <v>0</v>
      </c>
      <c r="I310" s="33"/>
      <c r="J310" s="13"/>
    </row>
    <row r="311" customFormat="false" ht="15.75" hidden="false" customHeight="true" outlineLevel="0" collapsed="false">
      <c r="B311" s="36" t="s">
        <v>336</v>
      </c>
      <c r="C311" s="36" t="s">
        <v>340</v>
      </c>
      <c r="D311" s="4"/>
      <c r="E311" s="36"/>
      <c r="F311" s="36"/>
      <c r="G311" s="37" t="n">
        <v>0</v>
      </c>
      <c r="H311" s="35" t="n">
        <f aca="false">IF(E311="",G311,IF(ISNUMBER(E311),E311*G311,G311))</f>
        <v>0</v>
      </c>
      <c r="I311" s="4"/>
      <c r="J311" s="5"/>
    </row>
    <row r="312" customFormat="false" ht="15.75" hidden="false" customHeight="true" outlineLevel="0" collapsed="false">
      <c r="B312" s="32" t="s">
        <v>336</v>
      </c>
      <c r="C312" s="32" t="s">
        <v>341</v>
      </c>
      <c r="D312" s="33"/>
      <c r="E312" s="32"/>
      <c r="F312" s="32"/>
      <c r="G312" s="34" t="n">
        <v>0</v>
      </c>
      <c r="H312" s="35" t="n">
        <f aca="false">IF(E312="",G312,IF(ISNUMBER(E312),E312*G312,G312))</f>
        <v>0</v>
      </c>
      <c r="I312" s="33"/>
      <c r="J312" s="13"/>
    </row>
    <row r="313" customFormat="false" ht="15.75" hidden="false" customHeight="true" outlineLevel="0" collapsed="false">
      <c r="B313" s="36" t="s">
        <v>336</v>
      </c>
      <c r="C313" s="36" t="s">
        <v>342</v>
      </c>
      <c r="D313" s="4"/>
      <c r="E313" s="36"/>
      <c r="F313" s="36"/>
      <c r="G313" s="37" t="n">
        <v>0</v>
      </c>
      <c r="H313" s="35" t="n">
        <f aca="false">IF(E313="",G313,IF(ISNUMBER(E313),E313*G313,G313))</f>
        <v>0</v>
      </c>
      <c r="I313" s="4"/>
      <c r="J313" s="5"/>
    </row>
    <row r="314" customFormat="false" ht="15.75" hidden="false" customHeight="true" outlineLevel="0" collapsed="false">
      <c r="B314" s="32" t="s">
        <v>336</v>
      </c>
      <c r="C314" s="32" t="s">
        <v>343</v>
      </c>
      <c r="D314" s="33"/>
      <c r="E314" s="32"/>
      <c r="F314" s="32"/>
      <c r="G314" s="34" t="n">
        <v>0</v>
      </c>
      <c r="H314" s="35" t="n">
        <f aca="false">IF(E314="",G314,IF(ISNUMBER(E314),E314*G314,G314))</f>
        <v>0</v>
      </c>
      <c r="I314" s="33"/>
      <c r="J314" s="13"/>
    </row>
    <row r="315" customFormat="false" ht="15.75" hidden="false" customHeight="true" outlineLevel="0" collapsed="false">
      <c r="B315" s="36" t="s">
        <v>336</v>
      </c>
      <c r="C315" s="36" t="s">
        <v>344</v>
      </c>
      <c r="D315" s="4"/>
      <c r="E315" s="36"/>
      <c r="F315" s="36"/>
      <c r="G315" s="37" t="n">
        <v>0</v>
      </c>
      <c r="H315" s="35" t="n">
        <f aca="false">IF(E315="",G315,IF(ISNUMBER(E315),E315*G315,G315))</f>
        <v>0</v>
      </c>
      <c r="I315" s="4"/>
      <c r="J315" s="5"/>
    </row>
    <row r="316" customFormat="false" ht="3" hidden="false" customHeight="true" outlineLevel="0" collapsed="false"/>
    <row r="317" customFormat="false" ht="16.5" hidden="false" customHeight="true" outlineLevel="0" collapsed="false">
      <c r="B317" s="30" t="s">
        <v>345</v>
      </c>
      <c r="C317" s="31"/>
      <c r="D317" s="31"/>
      <c r="E317" s="31"/>
      <c r="F317" s="31"/>
      <c r="G317" s="31"/>
      <c r="H317" s="31"/>
      <c r="I317" s="31"/>
      <c r="J317" s="31"/>
    </row>
    <row r="318" customFormat="false" ht="15.75" hidden="false" customHeight="true" outlineLevel="0" collapsed="false">
      <c r="B318" s="32" t="s">
        <v>346</v>
      </c>
      <c r="C318" s="32" t="s">
        <v>347</v>
      </c>
      <c r="D318" s="33"/>
      <c r="E318" s="32"/>
      <c r="F318" s="32"/>
      <c r="G318" s="34" t="n">
        <v>0</v>
      </c>
      <c r="H318" s="35" t="n">
        <f aca="false">IF(E318="",G318,IF(ISNUMBER(E318),E318*G318,G318))</f>
        <v>0</v>
      </c>
      <c r="I318" s="33"/>
      <c r="J318" s="13"/>
    </row>
    <row r="319" customFormat="false" ht="15.75" hidden="false" customHeight="true" outlineLevel="0" collapsed="false">
      <c r="B319" s="36" t="s">
        <v>346</v>
      </c>
      <c r="C319" s="36" t="s">
        <v>348</v>
      </c>
      <c r="D319" s="4"/>
      <c r="E319" s="36"/>
      <c r="F319" s="36"/>
      <c r="G319" s="37" t="n">
        <v>0</v>
      </c>
      <c r="H319" s="35" t="n">
        <f aca="false">IF(E319="",G319,IF(ISNUMBER(E319),E319*G319,G319))</f>
        <v>0</v>
      </c>
      <c r="I319" s="4"/>
      <c r="J319" s="5"/>
    </row>
    <row r="320" customFormat="false" ht="15.75" hidden="false" customHeight="true" outlineLevel="0" collapsed="false">
      <c r="B320" s="32" t="s">
        <v>346</v>
      </c>
      <c r="C320" s="32" t="s">
        <v>349</v>
      </c>
      <c r="D320" s="33"/>
      <c r="E320" s="32"/>
      <c r="F320" s="32"/>
      <c r="G320" s="34" t="n">
        <v>0</v>
      </c>
      <c r="H320" s="35" t="n">
        <f aca="false">IF(E320="",G320,IF(ISNUMBER(E320),E320*G320,G320))</f>
        <v>0</v>
      </c>
      <c r="I320" s="33"/>
      <c r="J320" s="13"/>
    </row>
    <row r="321" customFormat="false" ht="15.75" hidden="false" customHeight="true" outlineLevel="0" collapsed="false">
      <c r="B321" s="36" t="s">
        <v>346</v>
      </c>
      <c r="C321" s="36" t="s">
        <v>350</v>
      </c>
      <c r="D321" s="4"/>
      <c r="E321" s="36"/>
      <c r="F321" s="36"/>
      <c r="G321" s="37" t="n">
        <v>0</v>
      </c>
      <c r="H321" s="35" t="n">
        <f aca="false">IF(E321="",G321,IF(ISNUMBER(E321),E321*G321,G321))</f>
        <v>0</v>
      </c>
      <c r="I321" s="4"/>
      <c r="J321" s="5"/>
    </row>
    <row r="322" customFormat="false" ht="15.75" hidden="false" customHeight="true" outlineLevel="0" collapsed="false">
      <c r="B322" s="32" t="s">
        <v>346</v>
      </c>
      <c r="C322" s="32" t="s">
        <v>351</v>
      </c>
      <c r="D322" s="33"/>
      <c r="E322" s="32"/>
      <c r="F322" s="32"/>
      <c r="G322" s="34" t="n">
        <v>0</v>
      </c>
      <c r="H322" s="35" t="n">
        <f aca="false">IF(E322="",G322,IF(ISNUMBER(E322),E322*G322,G322))</f>
        <v>0</v>
      </c>
      <c r="I322" s="33"/>
      <c r="J322" s="13"/>
    </row>
    <row r="323" customFormat="false" ht="15.75" hidden="false" customHeight="true" outlineLevel="0" collapsed="false">
      <c r="B323" s="36" t="s">
        <v>346</v>
      </c>
      <c r="C323" s="36" t="s">
        <v>352</v>
      </c>
      <c r="D323" s="4"/>
      <c r="E323" s="36"/>
      <c r="F323" s="36"/>
      <c r="G323" s="37" t="n">
        <v>0</v>
      </c>
      <c r="H323" s="35" t="n">
        <f aca="false">IF(E323="",G323,IF(ISNUMBER(E323),E323*G323,G323))</f>
        <v>0</v>
      </c>
      <c r="I323" s="4"/>
      <c r="J323" s="5"/>
    </row>
    <row r="324" customFormat="false" ht="15.75" hidden="false" customHeight="true" outlineLevel="0" collapsed="false">
      <c r="B324" s="32" t="s">
        <v>346</v>
      </c>
      <c r="C324" s="32" t="s">
        <v>353</v>
      </c>
      <c r="D324" s="33"/>
      <c r="E324" s="32"/>
      <c r="F324" s="32"/>
      <c r="G324" s="34" t="n">
        <v>0</v>
      </c>
      <c r="H324" s="35" t="n">
        <f aca="false">IF(E324="",G324,IF(ISNUMBER(E324),E324*G324,G324))</f>
        <v>0</v>
      </c>
      <c r="I324" s="33"/>
      <c r="J324" s="13"/>
    </row>
    <row r="325" customFormat="false" ht="15.75" hidden="false" customHeight="true" outlineLevel="0" collapsed="false">
      <c r="B325" s="36" t="s">
        <v>346</v>
      </c>
      <c r="C325" s="36" t="s">
        <v>354</v>
      </c>
      <c r="D325" s="4"/>
      <c r="E325" s="36"/>
      <c r="F325" s="36"/>
      <c r="G325" s="37" t="n">
        <v>0</v>
      </c>
      <c r="H325" s="35" t="n">
        <f aca="false">IF(E325="",G325,IF(ISNUMBER(E325),E325*G325,G325))</f>
        <v>0</v>
      </c>
      <c r="I325" s="4"/>
      <c r="J325" s="5"/>
    </row>
    <row r="326" customFormat="false" ht="3" hidden="false" customHeight="true" outlineLevel="0" collapsed="false"/>
    <row r="327" customFormat="false" ht="16.5" hidden="false" customHeight="true" outlineLevel="0" collapsed="false">
      <c r="B327" s="30" t="s">
        <v>355</v>
      </c>
      <c r="C327" s="31"/>
      <c r="D327" s="31"/>
      <c r="E327" s="31"/>
      <c r="F327" s="31"/>
      <c r="G327" s="31"/>
      <c r="H327" s="31"/>
      <c r="I327" s="31"/>
      <c r="J327" s="31"/>
    </row>
    <row r="328" customFormat="false" ht="15.75" hidden="false" customHeight="true" outlineLevel="0" collapsed="false">
      <c r="B328" s="32" t="s">
        <v>356</v>
      </c>
      <c r="C328" s="32" t="s">
        <v>357</v>
      </c>
      <c r="D328" s="33"/>
      <c r="E328" s="32"/>
      <c r="F328" s="32"/>
      <c r="G328" s="34" t="n">
        <v>0</v>
      </c>
      <c r="H328" s="35" t="n">
        <f aca="false">IF(E328="",G328,IF(ISNUMBER(E328),E328*G328,G328))</f>
        <v>0</v>
      </c>
      <c r="I328" s="33"/>
      <c r="J328" s="13"/>
    </row>
    <row r="329" customFormat="false" ht="15.75" hidden="false" customHeight="true" outlineLevel="0" collapsed="false">
      <c r="B329" s="36" t="s">
        <v>356</v>
      </c>
      <c r="C329" s="36" t="s">
        <v>358</v>
      </c>
      <c r="D329" s="4"/>
      <c r="E329" s="36"/>
      <c r="F329" s="36"/>
      <c r="G329" s="37" t="n">
        <v>0</v>
      </c>
      <c r="H329" s="35" t="n">
        <f aca="false">IF(E329="",G329,IF(ISNUMBER(E329),E329*G329,G329))</f>
        <v>0</v>
      </c>
      <c r="I329" s="4"/>
      <c r="J329" s="5"/>
    </row>
    <row r="330" customFormat="false" ht="15.75" hidden="false" customHeight="true" outlineLevel="0" collapsed="false">
      <c r="B330" s="32" t="s">
        <v>356</v>
      </c>
      <c r="C330" s="32" t="s">
        <v>359</v>
      </c>
      <c r="D330" s="33"/>
      <c r="E330" s="32"/>
      <c r="F330" s="32"/>
      <c r="G330" s="34" t="n">
        <v>0</v>
      </c>
      <c r="H330" s="35" t="n">
        <f aca="false">IF(E330="",G330,IF(ISNUMBER(E330),E330*G330,G330))</f>
        <v>0</v>
      </c>
      <c r="I330" s="33"/>
      <c r="J330" s="13"/>
    </row>
    <row r="331" customFormat="false" ht="15.75" hidden="false" customHeight="true" outlineLevel="0" collapsed="false">
      <c r="B331" s="36" t="s">
        <v>356</v>
      </c>
      <c r="C331" s="36" t="s">
        <v>360</v>
      </c>
      <c r="D331" s="4"/>
      <c r="E331" s="36"/>
      <c r="F331" s="36"/>
      <c r="G331" s="37" t="n">
        <v>0</v>
      </c>
      <c r="H331" s="35" t="n">
        <f aca="false">IF(E331="",G331,IF(ISNUMBER(E331),E331*G331,G331))</f>
        <v>0</v>
      </c>
      <c r="I331" s="4"/>
      <c r="J331" s="5"/>
    </row>
    <row r="332" customFormat="false" ht="15.75" hidden="false" customHeight="true" outlineLevel="0" collapsed="false">
      <c r="B332" s="32" t="s">
        <v>356</v>
      </c>
      <c r="C332" s="32" t="s">
        <v>361</v>
      </c>
      <c r="D332" s="33"/>
      <c r="E332" s="32"/>
      <c r="F332" s="32"/>
      <c r="G332" s="34" t="n">
        <v>0</v>
      </c>
      <c r="H332" s="35" t="n">
        <f aca="false">IF(E332="",G332,IF(ISNUMBER(E332),E332*G332,G332))</f>
        <v>0</v>
      </c>
      <c r="I332" s="33"/>
      <c r="J332" s="13"/>
    </row>
    <row r="333" customFormat="false" ht="15.75" hidden="false" customHeight="true" outlineLevel="0" collapsed="false">
      <c r="B333" s="36" t="s">
        <v>356</v>
      </c>
      <c r="C333" s="36" t="s">
        <v>362</v>
      </c>
      <c r="D333" s="4"/>
      <c r="E333" s="36"/>
      <c r="F333" s="36"/>
      <c r="G333" s="37" t="n">
        <v>0</v>
      </c>
      <c r="H333" s="35" t="n">
        <f aca="false">IF(E333="",G333,IF(ISNUMBER(E333),E333*G333,G333))</f>
        <v>0</v>
      </c>
      <c r="I333" s="4"/>
      <c r="J333" s="5"/>
    </row>
    <row r="334" customFormat="false" ht="15.75" hidden="false" customHeight="true" outlineLevel="0" collapsed="false">
      <c r="B334" s="32" t="s">
        <v>356</v>
      </c>
      <c r="C334" s="32" t="s">
        <v>363</v>
      </c>
      <c r="D334" s="33"/>
      <c r="E334" s="32"/>
      <c r="F334" s="32"/>
      <c r="G334" s="34" t="n">
        <v>0</v>
      </c>
      <c r="H334" s="35" t="n">
        <f aca="false">IF(E334="",G334,IF(ISNUMBER(E334),E334*G334,G334))</f>
        <v>0</v>
      </c>
      <c r="I334" s="33"/>
      <c r="J334" s="13"/>
    </row>
    <row r="335" customFormat="false" ht="15.75" hidden="false" customHeight="true" outlineLevel="0" collapsed="false">
      <c r="B335" s="36" t="s">
        <v>356</v>
      </c>
      <c r="C335" s="36" t="s">
        <v>364</v>
      </c>
      <c r="D335" s="4"/>
      <c r="E335" s="36"/>
      <c r="F335" s="36"/>
      <c r="G335" s="37" t="n">
        <v>0</v>
      </c>
      <c r="H335" s="35" t="n">
        <f aca="false">IF(E335="",G335,IF(ISNUMBER(E335),E335*G335,G335))</f>
        <v>0</v>
      </c>
      <c r="I335" s="4"/>
      <c r="J335" s="5"/>
    </row>
    <row r="336" customFormat="false" ht="3" hidden="false" customHeight="true" outlineLevel="0" collapsed="false"/>
    <row r="337" customFormat="false" ht="16.5" hidden="false" customHeight="true" outlineLevel="0" collapsed="false">
      <c r="B337" s="30" t="s">
        <v>365</v>
      </c>
      <c r="C337" s="31"/>
      <c r="D337" s="31"/>
      <c r="E337" s="31"/>
      <c r="F337" s="31"/>
      <c r="G337" s="31"/>
      <c r="H337" s="31"/>
      <c r="I337" s="31"/>
      <c r="J337" s="31"/>
    </row>
    <row r="338" customFormat="false" ht="15.75" hidden="false" customHeight="true" outlineLevel="0" collapsed="false">
      <c r="B338" s="32" t="s">
        <v>366</v>
      </c>
      <c r="C338" s="32" t="s">
        <v>367</v>
      </c>
      <c r="D338" s="33"/>
      <c r="E338" s="32"/>
      <c r="F338" s="32"/>
      <c r="G338" s="34" t="n">
        <v>0</v>
      </c>
      <c r="H338" s="35" t="n">
        <f aca="false">IF(E338="",G338,IF(ISNUMBER(E338),E338*G338,G338))</f>
        <v>0</v>
      </c>
      <c r="I338" s="33"/>
      <c r="J338" s="13"/>
    </row>
    <row r="339" customFormat="false" ht="15.75" hidden="false" customHeight="true" outlineLevel="0" collapsed="false">
      <c r="B339" s="36" t="s">
        <v>366</v>
      </c>
      <c r="C339" s="36" t="s">
        <v>368</v>
      </c>
      <c r="D339" s="4"/>
      <c r="E339" s="36"/>
      <c r="F339" s="36"/>
      <c r="G339" s="37" t="n">
        <v>0</v>
      </c>
      <c r="H339" s="35" t="n">
        <f aca="false">IF(E339="",G339,IF(ISNUMBER(E339),E339*G339,G339))</f>
        <v>0</v>
      </c>
      <c r="I339" s="4"/>
      <c r="J339" s="5"/>
    </row>
    <row r="340" customFormat="false" ht="15.75" hidden="false" customHeight="true" outlineLevel="0" collapsed="false">
      <c r="B340" s="32" t="s">
        <v>366</v>
      </c>
      <c r="C340" s="32" t="s">
        <v>369</v>
      </c>
      <c r="D340" s="33"/>
      <c r="E340" s="32"/>
      <c r="F340" s="32"/>
      <c r="G340" s="34" t="n">
        <v>0</v>
      </c>
      <c r="H340" s="35" t="n">
        <f aca="false">IF(E340="",G340,IF(ISNUMBER(E340),E340*G340,G340))</f>
        <v>0</v>
      </c>
      <c r="I340" s="33"/>
      <c r="J340" s="13"/>
    </row>
    <row r="341" customFormat="false" ht="15.75" hidden="false" customHeight="true" outlineLevel="0" collapsed="false">
      <c r="B341" s="36" t="s">
        <v>366</v>
      </c>
      <c r="C341" s="36" t="s">
        <v>370</v>
      </c>
      <c r="D341" s="4"/>
      <c r="E341" s="36"/>
      <c r="F341" s="36"/>
      <c r="G341" s="37" t="n">
        <v>0</v>
      </c>
      <c r="H341" s="35" t="n">
        <f aca="false">IF(E341="",G341,IF(ISNUMBER(E341),E341*G341,G341))</f>
        <v>0</v>
      </c>
      <c r="I341" s="4"/>
      <c r="J341" s="5"/>
    </row>
    <row r="342" customFormat="false" ht="15.75" hidden="false" customHeight="true" outlineLevel="0" collapsed="false">
      <c r="B342" s="32" t="s">
        <v>366</v>
      </c>
      <c r="C342" s="32" t="s">
        <v>371</v>
      </c>
      <c r="D342" s="33"/>
      <c r="E342" s="32"/>
      <c r="F342" s="32"/>
      <c r="G342" s="34" t="n">
        <v>0</v>
      </c>
      <c r="H342" s="35" t="n">
        <f aca="false">IF(E342="",G342,IF(ISNUMBER(E342),E342*G342,G342))</f>
        <v>0</v>
      </c>
      <c r="I342" s="33"/>
      <c r="J342" s="13"/>
    </row>
    <row r="343" customFormat="false" ht="15.75" hidden="false" customHeight="true" outlineLevel="0" collapsed="false">
      <c r="B343" s="36" t="s">
        <v>366</v>
      </c>
      <c r="C343" s="36" t="s">
        <v>372</v>
      </c>
      <c r="D343" s="4"/>
      <c r="E343" s="36"/>
      <c r="F343" s="36"/>
      <c r="G343" s="37" t="n">
        <v>0</v>
      </c>
      <c r="H343" s="35" t="n">
        <f aca="false">IF(E343="",G343,IF(ISNUMBER(E343),E343*G343,G343))</f>
        <v>0</v>
      </c>
      <c r="I343" s="4"/>
      <c r="J343" s="5"/>
    </row>
    <row r="344" customFormat="false" ht="15.75" hidden="false" customHeight="true" outlineLevel="0" collapsed="false">
      <c r="B344" s="32" t="s">
        <v>366</v>
      </c>
      <c r="C344" s="32" t="s">
        <v>373</v>
      </c>
      <c r="D344" s="33"/>
      <c r="E344" s="32"/>
      <c r="F344" s="32"/>
      <c r="G344" s="34" t="n">
        <v>0</v>
      </c>
      <c r="H344" s="35" t="n">
        <f aca="false">IF(E344="",G344,IF(ISNUMBER(E344),E344*G344,G344))</f>
        <v>0</v>
      </c>
      <c r="I344" s="33"/>
      <c r="J344" s="13"/>
    </row>
    <row r="345" customFormat="false" ht="15.75" hidden="false" customHeight="true" outlineLevel="0" collapsed="false">
      <c r="B345" s="36" t="s">
        <v>366</v>
      </c>
      <c r="C345" s="36" t="s">
        <v>374</v>
      </c>
      <c r="D345" s="4"/>
      <c r="E345" s="36"/>
      <c r="F345" s="36"/>
      <c r="G345" s="37" t="n">
        <v>0</v>
      </c>
      <c r="H345" s="35" t="n">
        <f aca="false">IF(E345="",G345,IF(ISNUMBER(E345),E345*G345,G345))</f>
        <v>0</v>
      </c>
      <c r="I345" s="4"/>
      <c r="J345" s="5"/>
    </row>
    <row r="346" customFormat="false" ht="3" hidden="false" customHeight="true" outlineLevel="0" collapsed="false"/>
    <row r="347" customFormat="false" ht="16.5" hidden="false" customHeight="true" outlineLevel="0" collapsed="false">
      <c r="B347" s="30" t="s">
        <v>375</v>
      </c>
      <c r="C347" s="31"/>
      <c r="D347" s="31"/>
      <c r="E347" s="31"/>
      <c r="F347" s="31"/>
      <c r="G347" s="31"/>
      <c r="H347" s="31"/>
      <c r="I347" s="31"/>
      <c r="J347" s="31"/>
    </row>
    <row r="348" customFormat="false" ht="15.75" hidden="false" customHeight="true" outlineLevel="0" collapsed="false">
      <c r="B348" s="32" t="s">
        <v>376</v>
      </c>
      <c r="C348" s="32" t="s">
        <v>377</v>
      </c>
      <c r="D348" s="33"/>
      <c r="E348" s="32"/>
      <c r="F348" s="32"/>
      <c r="G348" s="34" t="n">
        <v>0</v>
      </c>
      <c r="H348" s="35" t="n">
        <f aca="false">IF(E348="",G348,IF(ISNUMBER(E348),E348*G348,G348))</f>
        <v>0</v>
      </c>
      <c r="I348" s="33"/>
      <c r="J348" s="13"/>
    </row>
    <row r="349" customFormat="false" ht="15.75" hidden="false" customHeight="true" outlineLevel="0" collapsed="false">
      <c r="B349" s="36" t="s">
        <v>376</v>
      </c>
      <c r="C349" s="36" t="s">
        <v>378</v>
      </c>
      <c r="D349" s="4"/>
      <c r="E349" s="36"/>
      <c r="F349" s="36"/>
      <c r="G349" s="37" t="n">
        <v>0</v>
      </c>
      <c r="H349" s="35" t="n">
        <f aca="false">IF(E349="",G349,IF(ISNUMBER(E349),E349*G349,G349))</f>
        <v>0</v>
      </c>
      <c r="I349" s="4"/>
      <c r="J349" s="5"/>
    </row>
    <row r="350" customFormat="false" ht="15.75" hidden="false" customHeight="true" outlineLevel="0" collapsed="false">
      <c r="B350" s="32" t="s">
        <v>376</v>
      </c>
      <c r="C350" s="32" t="s">
        <v>379</v>
      </c>
      <c r="D350" s="33"/>
      <c r="E350" s="32"/>
      <c r="F350" s="32"/>
      <c r="G350" s="34" t="n">
        <v>0</v>
      </c>
      <c r="H350" s="35" t="n">
        <f aca="false">IF(E350="",G350,IF(ISNUMBER(E350),E350*G350,G350))</f>
        <v>0</v>
      </c>
      <c r="I350" s="33"/>
      <c r="J350" s="13"/>
    </row>
    <row r="351" customFormat="false" ht="15.75" hidden="false" customHeight="true" outlineLevel="0" collapsed="false">
      <c r="B351" s="36" t="s">
        <v>376</v>
      </c>
      <c r="C351" s="36" t="s">
        <v>380</v>
      </c>
      <c r="D351" s="4"/>
      <c r="E351" s="36"/>
      <c r="F351" s="36"/>
      <c r="G351" s="37" t="n">
        <v>0</v>
      </c>
      <c r="H351" s="35" t="n">
        <f aca="false">IF(E351="",G351,IF(ISNUMBER(E351),E351*G351,G351))</f>
        <v>0</v>
      </c>
      <c r="I351" s="4"/>
      <c r="J351" s="5"/>
    </row>
    <row r="352" customFormat="false" ht="15.75" hidden="false" customHeight="true" outlineLevel="0" collapsed="false">
      <c r="B352" s="32" t="s">
        <v>376</v>
      </c>
      <c r="C352" s="32" t="s">
        <v>381</v>
      </c>
      <c r="D352" s="33"/>
      <c r="E352" s="32"/>
      <c r="F352" s="32"/>
      <c r="G352" s="34" t="n">
        <v>0</v>
      </c>
      <c r="H352" s="35" t="n">
        <f aca="false">IF(E352="",G352,IF(ISNUMBER(E352),E352*G352,G352))</f>
        <v>0</v>
      </c>
      <c r="I352" s="33"/>
      <c r="J352" s="13"/>
    </row>
    <row r="353" customFormat="false" ht="15.75" hidden="false" customHeight="true" outlineLevel="0" collapsed="false">
      <c r="B353" s="36" t="s">
        <v>376</v>
      </c>
      <c r="C353" s="36" t="s">
        <v>382</v>
      </c>
      <c r="D353" s="4"/>
      <c r="E353" s="36"/>
      <c r="F353" s="36"/>
      <c r="G353" s="37" t="n">
        <v>0</v>
      </c>
      <c r="H353" s="35" t="n">
        <f aca="false">IF(E353="",G353,IF(ISNUMBER(E353),E353*G353,G353))</f>
        <v>0</v>
      </c>
      <c r="I353" s="4"/>
      <c r="J353" s="5"/>
    </row>
    <row r="354" customFormat="false" ht="15.75" hidden="false" customHeight="true" outlineLevel="0" collapsed="false">
      <c r="B354" s="32" t="s">
        <v>376</v>
      </c>
      <c r="C354" s="32" t="s">
        <v>383</v>
      </c>
      <c r="D354" s="33"/>
      <c r="E354" s="32"/>
      <c r="F354" s="32"/>
      <c r="G354" s="34" t="n">
        <v>0</v>
      </c>
      <c r="H354" s="35" t="n">
        <f aca="false">IF(E354="",G354,IF(ISNUMBER(E354),E354*G354,G354))</f>
        <v>0</v>
      </c>
      <c r="I354" s="33"/>
      <c r="J354" s="13"/>
    </row>
    <row r="355" customFormat="false" ht="15.75" hidden="false" customHeight="true" outlineLevel="0" collapsed="false">
      <c r="B355" s="36" t="s">
        <v>376</v>
      </c>
      <c r="C355" s="36" t="s">
        <v>384</v>
      </c>
      <c r="D355" s="4"/>
      <c r="E355" s="36"/>
      <c r="F355" s="36"/>
      <c r="G355" s="37" t="n">
        <v>0</v>
      </c>
      <c r="H355" s="35" t="n">
        <f aca="false">IF(E355="",G355,IF(ISNUMBER(E355),E355*G355,G355))</f>
        <v>0</v>
      </c>
      <c r="I355" s="4"/>
      <c r="J355" s="5"/>
    </row>
    <row r="356" customFormat="false" ht="3" hidden="false" customHeight="true" outlineLevel="0" collapsed="false"/>
    <row r="357" customFormat="false" ht="16.5" hidden="false" customHeight="true" outlineLevel="0" collapsed="false">
      <c r="B357" s="30" t="s">
        <v>385</v>
      </c>
      <c r="C357" s="31"/>
      <c r="D357" s="31"/>
      <c r="E357" s="31"/>
      <c r="F357" s="31"/>
      <c r="G357" s="31"/>
      <c r="H357" s="31"/>
      <c r="I357" s="31"/>
      <c r="J357" s="31"/>
    </row>
    <row r="358" customFormat="false" ht="15.75" hidden="false" customHeight="true" outlineLevel="0" collapsed="false">
      <c r="B358" s="32" t="s">
        <v>386</v>
      </c>
      <c r="C358" s="32" t="s">
        <v>387</v>
      </c>
      <c r="D358" s="33"/>
      <c r="E358" s="32"/>
      <c r="F358" s="32"/>
      <c r="G358" s="34" t="n">
        <v>0</v>
      </c>
      <c r="H358" s="35" t="n">
        <f aca="false">IF(E358="",G358,IF(ISNUMBER(E358),E358*G358,G358))</f>
        <v>0</v>
      </c>
      <c r="I358" s="33"/>
      <c r="J358" s="13"/>
    </row>
    <row r="359" customFormat="false" ht="15.75" hidden="false" customHeight="true" outlineLevel="0" collapsed="false">
      <c r="B359" s="36" t="s">
        <v>386</v>
      </c>
      <c r="C359" s="36" t="s">
        <v>388</v>
      </c>
      <c r="D359" s="4"/>
      <c r="E359" s="36"/>
      <c r="F359" s="36"/>
      <c r="G359" s="37" t="n">
        <v>0</v>
      </c>
      <c r="H359" s="35" t="n">
        <f aca="false">IF(E359="",G359,IF(ISNUMBER(E359),E359*G359,G359))</f>
        <v>0</v>
      </c>
      <c r="I359" s="4"/>
      <c r="J359" s="5"/>
    </row>
    <row r="360" customFormat="false" ht="15.75" hidden="false" customHeight="true" outlineLevel="0" collapsed="false">
      <c r="B360" s="32" t="s">
        <v>386</v>
      </c>
      <c r="C360" s="32" t="s">
        <v>389</v>
      </c>
      <c r="D360" s="33"/>
      <c r="E360" s="32"/>
      <c r="F360" s="32"/>
      <c r="G360" s="34" t="n">
        <v>0</v>
      </c>
      <c r="H360" s="35" t="n">
        <f aca="false">IF(E360="",G360,IF(ISNUMBER(E360),E360*G360,G360))</f>
        <v>0</v>
      </c>
      <c r="I360" s="33"/>
      <c r="J360" s="13"/>
    </row>
    <row r="361" customFormat="false" ht="15.75" hidden="false" customHeight="true" outlineLevel="0" collapsed="false">
      <c r="B361" s="36" t="s">
        <v>386</v>
      </c>
      <c r="C361" s="36" t="s">
        <v>390</v>
      </c>
      <c r="D361" s="4"/>
      <c r="E361" s="36"/>
      <c r="F361" s="36"/>
      <c r="G361" s="37" t="n">
        <v>0</v>
      </c>
      <c r="H361" s="35" t="n">
        <f aca="false">IF(E361="",G361,IF(ISNUMBER(E361),E361*G361,G361))</f>
        <v>0</v>
      </c>
      <c r="I361" s="4"/>
      <c r="J361" s="5"/>
    </row>
    <row r="362" customFormat="false" ht="15.75" hidden="false" customHeight="true" outlineLevel="0" collapsed="false">
      <c r="B362" s="32" t="s">
        <v>386</v>
      </c>
      <c r="C362" s="32" t="s">
        <v>391</v>
      </c>
      <c r="D362" s="33"/>
      <c r="E362" s="32"/>
      <c r="F362" s="32"/>
      <c r="G362" s="34" t="n">
        <v>0</v>
      </c>
      <c r="H362" s="35" t="n">
        <f aca="false">IF(E362="",G362,IF(ISNUMBER(E362),E362*G362,G362))</f>
        <v>0</v>
      </c>
      <c r="I362" s="33"/>
      <c r="J362" s="13"/>
    </row>
    <row r="363" customFormat="false" ht="15.75" hidden="false" customHeight="true" outlineLevel="0" collapsed="false">
      <c r="B363" s="36" t="s">
        <v>386</v>
      </c>
      <c r="C363" s="36" t="s">
        <v>392</v>
      </c>
      <c r="D363" s="4"/>
      <c r="E363" s="36"/>
      <c r="F363" s="36"/>
      <c r="G363" s="37" t="n">
        <v>0</v>
      </c>
      <c r="H363" s="35" t="n">
        <f aca="false">IF(E363="",G363,IF(ISNUMBER(E363),E363*G363,G363))</f>
        <v>0</v>
      </c>
      <c r="I363" s="4"/>
      <c r="J363" s="5"/>
    </row>
    <row r="364" customFormat="false" ht="15.75" hidden="false" customHeight="true" outlineLevel="0" collapsed="false">
      <c r="B364" s="32" t="s">
        <v>386</v>
      </c>
      <c r="C364" s="32" t="s">
        <v>393</v>
      </c>
      <c r="D364" s="33"/>
      <c r="E364" s="32"/>
      <c r="F364" s="32"/>
      <c r="G364" s="34" t="n">
        <v>0</v>
      </c>
      <c r="H364" s="35" t="n">
        <f aca="false">IF(E364="",G364,IF(ISNUMBER(E364),E364*G364,G364))</f>
        <v>0</v>
      </c>
      <c r="I364" s="33"/>
      <c r="J364" s="13"/>
    </row>
    <row r="365" customFormat="false" ht="15.75" hidden="false" customHeight="true" outlineLevel="0" collapsed="false">
      <c r="B365" s="36" t="s">
        <v>386</v>
      </c>
      <c r="C365" s="36" t="s">
        <v>394</v>
      </c>
      <c r="D365" s="4"/>
      <c r="E365" s="36"/>
      <c r="F365" s="36"/>
      <c r="G365" s="37" t="n">
        <v>0</v>
      </c>
      <c r="H365" s="35" t="n">
        <f aca="false">IF(E365="",G365,IF(ISNUMBER(E365),E365*G365,G365))</f>
        <v>0</v>
      </c>
      <c r="I365" s="4"/>
      <c r="J365" s="5"/>
    </row>
    <row r="366" customFormat="false" ht="3" hidden="false" customHeight="true" outlineLevel="0" collapsed="false"/>
    <row r="367" customFormat="false" ht="16.5" hidden="false" customHeight="true" outlineLevel="0" collapsed="false">
      <c r="B367" s="30" t="s">
        <v>395</v>
      </c>
      <c r="C367" s="31"/>
      <c r="D367" s="31"/>
      <c r="E367" s="31"/>
      <c r="F367" s="31"/>
      <c r="G367" s="31"/>
      <c r="H367" s="31"/>
      <c r="I367" s="31"/>
      <c r="J367" s="31"/>
    </row>
    <row r="368" customFormat="false" ht="15.75" hidden="false" customHeight="true" outlineLevel="0" collapsed="false">
      <c r="B368" s="32" t="s">
        <v>396</v>
      </c>
      <c r="C368" s="32" t="s">
        <v>397</v>
      </c>
      <c r="D368" s="33"/>
      <c r="E368" s="32"/>
      <c r="F368" s="32"/>
      <c r="G368" s="34" t="n">
        <v>0</v>
      </c>
      <c r="H368" s="35" t="n">
        <f aca="false">IF(E368="",G368,IF(ISNUMBER(E368),E368*G368,G368))</f>
        <v>0</v>
      </c>
      <c r="I368" s="33"/>
      <c r="J368" s="13"/>
    </row>
    <row r="369" customFormat="false" ht="15.75" hidden="false" customHeight="true" outlineLevel="0" collapsed="false">
      <c r="B369" s="36" t="s">
        <v>396</v>
      </c>
      <c r="C369" s="36" t="s">
        <v>398</v>
      </c>
      <c r="D369" s="4"/>
      <c r="E369" s="36"/>
      <c r="F369" s="36"/>
      <c r="G369" s="37" t="n">
        <v>0</v>
      </c>
      <c r="H369" s="35" t="n">
        <f aca="false">IF(E369="",G369,IF(ISNUMBER(E369),E369*G369,G369))</f>
        <v>0</v>
      </c>
      <c r="I369" s="4"/>
      <c r="J369" s="5"/>
    </row>
    <row r="370" customFormat="false" ht="15.75" hidden="false" customHeight="true" outlineLevel="0" collapsed="false">
      <c r="B370" s="32" t="s">
        <v>396</v>
      </c>
      <c r="C370" s="32" t="s">
        <v>399</v>
      </c>
      <c r="D370" s="33"/>
      <c r="E370" s="32"/>
      <c r="F370" s="32"/>
      <c r="G370" s="34" t="n">
        <v>0</v>
      </c>
      <c r="H370" s="35" t="n">
        <f aca="false">IF(E370="",G370,IF(ISNUMBER(E370),E370*G370,G370))</f>
        <v>0</v>
      </c>
      <c r="I370" s="33"/>
      <c r="J370" s="13"/>
    </row>
    <row r="371" customFormat="false" ht="15.75" hidden="false" customHeight="true" outlineLevel="0" collapsed="false">
      <c r="B371" s="36" t="s">
        <v>396</v>
      </c>
      <c r="C371" s="36" t="s">
        <v>400</v>
      </c>
      <c r="D371" s="4"/>
      <c r="E371" s="36"/>
      <c r="F371" s="36"/>
      <c r="G371" s="37" t="n">
        <v>0</v>
      </c>
      <c r="H371" s="35" t="n">
        <f aca="false">IF(E371="",G371,IF(ISNUMBER(E371),E371*G371,G371))</f>
        <v>0</v>
      </c>
      <c r="I371" s="4"/>
      <c r="J371" s="5"/>
    </row>
    <row r="372" customFormat="false" ht="15.75" hidden="false" customHeight="true" outlineLevel="0" collapsed="false">
      <c r="B372" s="32" t="s">
        <v>396</v>
      </c>
      <c r="C372" s="32" t="s">
        <v>401</v>
      </c>
      <c r="D372" s="33"/>
      <c r="E372" s="32"/>
      <c r="F372" s="32"/>
      <c r="G372" s="34" t="n">
        <v>0</v>
      </c>
      <c r="H372" s="35" t="n">
        <f aca="false">IF(E372="",G372,IF(ISNUMBER(E372),E372*G372,G372))</f>
        <v>0</v>
      </c>
      <c r="I372" s="33"/>
      <c r="J372" s="13"/>
    </row>
    <row r="373" customFormat="false" ht="15.75" hidden="false" customHeight="true" outlineLevel="0" collapsed="false">
      <c r="B373" s="36" t="s">
        <v>396</v>
      </c>
      <c r="C373" s="36" t="s">
        <v>402</v>
      </c>
      <c r="D373" s="4"/>
      <c r="E373" s="36"/>
      <c r="F373" s="36"/>
      <c r="G373" s="37" t="n">
        <v>0</v>
      </c>
      <c r="H373" s="35" t="n">
        <f aca="false">IF(E373="",G373,IF(ISNUMBER(E373),E373*G373,G373))</f>
        <v>0</v>
      </c>
      <c r="I373" s="4"/>
      <c r="J373" s="5"/>
    </row>
    <row r="374" customFormat="false" ht="15.75" hidden="false" customHeight="true" outlineLevel="0" collapsed="false">
      <c r="B374" s="32" t="s">
        <v>396</v>
      </c>
      <c r="C374" s="32" t="s">
        <v>403</v>
      </c>
      <c r="D374" s="33"/>
      <c r="E374" s="32"/>
      <c r="F374" s="32"/>
      <c r="G374" s="34" t="n">
        <v>0</v>
      </c>
      <c r="H374" s="35" t="n">
        <f aca="false">IF(E374="",G374,IF(ISNUMBER(E374),E374*G374,G374))</f>
        <v>0</v>
      </c>
      <c r="I374" s="33"/>
      <c r="J374" s="13"/>
    </row>
    <row r="375" customFormat="false" ht="15.75" hidden="false" customHeight="true" outlineLevel="0" collapsed="false">
      <c r="B375" s="36" t="s">
        <v>396</v>
      </c>
      <c r="C375" s="36" t="s">
        <v>404</v>
      </c>
      <c r="D375" s="4"/>
      <c r="E375" s="36"/>
      <c r="F375" s="36"/>
      <c r="G375" s="37" t="n">
        <v>0</v>
      </c>
      <c r="H375" s="35" t="n">
        <f aca="false">IF(E375="",G375,IF(ISNUMBER(E375),E375*G375,G375))</f>
        <v>0</v>
      </c>
      <c r="I375" s="4"/>
      <c r="J375" s="5"/>
    </row>
    <row r="376" customFormat="false" ht="3" hidden="false" customHeight="true" outlineLevel="0" collapsed="false"/>
    <row r="377" customFormat="false" ht="16.5" hidden="false" customHeight="true" outlineLevel="0" collapsed="false">
      <c r="B377" s="30" t="s">
        <v>405</v>
      </c>
      <c r="C377" s="31"/>
      <c r="D377" s="31"/>
      <c r="E377" s="31"/>
      <c r="F377" s="31"/>
      <c r="G377" s="31"/>
      <c r="H377" s="31"/>
      <c r="I377" s="31"/>
      <c r="J377" s="31"/>
    </row>
    <row r="378" customFormat="false" ht="15.75" hidden="false" customHeight="true" outlineLevel="0" collapsed="false">
      <c r="B378" s="32" t="s">
        <v>406</v>
      </c>
      <c r="C378" s="32" t="s">
        <v>407</v>
      </c>
      <c r="D378" s="33"/>
      <c r="E378" s="32"/>
      <c r="F378" s="32"/>
      <c r="G378" s="34" t="n">
        <v>0</v>
      </c>
      <c r="H378" s="35" t="n">
        <f aca="false">IF(E378="",G378,IF(ISNUMBER(E378),E378*G378,G378))</f>
        <v>0</v>
      </c>
      <c r="I378" s="33"/>
      <c r="J378" s="13"/>
    </row>
    <row r="379" customFormat="false" ht="15.75" hidden="false" customHeight="true" outlineLevel="0" collapsed="false">
      <c r="B379" s="36" t="s">
        <v>406</v>
      </c>
      <c r="C379" s="36" t="s">
        <v>408</v>
      </c>
      <c r="D379" s="4"/>
      <c r="E379" s="36"/>
      <c r="F379" s="36"/>
      <c r="G379" s="37" t="n">
        <v>0</v>
      </c>
      <c r="H379" s="35" t="n">
        <f aca="false">IF(E379="",G379,IF(ISNUMBER(E379),E379*G379,G379))</f>
        <v>0</v>
      </c>
      <c r="I379" s="4"/>
      <c r="J379" s="5"/>
    </row>
    <row r="380" customFormat="false" ht="15.75" hidden="false" customHeight="true" outlineLevel="0" collapsed="false">
      <c r="B380" s="32" t="s">
        <v>406</v>
      </c>
      <c r="C380" s="32" t="s">
        <v>409</v>
      </c>
      <c r="D380" s="33"/>
      <c r="E380" s="32"/>
      <c r="F380" s="32"/>
      <c r="G380" s="34" t="n">
        <v>0</v>
      </c>
      <c r="H380" s="35" t="n">
        <f aca="false">IF(E380="",G380,IF(ISNUMBER(E380),E380*G380,G380))</f>
        <v>0</v>
      </c>
      <c r="I380" s="33"/>
      <c r="J380" s="13"/>
    </row>
    <row r="381" customFormat="false" ht="15.75" hidden="false" customHeight="true" outlineLevel="0" collapsed="false">
      <c r="B381" s="36" t="s">
        <v>406</v>
      </c>
      <c r="C381" s="36" t="s">
        <v>410</v>
      </c>
      <c r="D381" s="4"/>
      <c r="E381" s="36"/>
      <c r="F381" s="36"/>
      <c r="G381" s="37" t="n">
        <v>0</v>
      </c>
      <c r="H381" s="35" t="n">
        <f aca="false">IF(E381="",G381,IF(ISNUMBER(E381),E381*G381,G381))</f>
        <v>0</v>
      </c>
      <c r="I381" s="4"/>
      <c r="J381" s="5"/>
    </row>
    <row r="382" customFormat="false" ht="15.75" hidden="false" customHeight="true" outlineLevel="0" collapsed="false">
      <c r="B382" s="32" t="s">
        <v>406</v>
      </c>
      <c r="C382" s="32" t="s">
        <v>411</v>
      </c>
      <c r="D382" s="33"/>
      <c r="E382" s="32"/>
      <c r="F382" s="32"/>
      <c r="G382" s="34" t="n">
        <v>0</v>
      </c>
      <c r="H382" s="35" t="n">
        <f aca="false">IF(E382="",G382,IF(ISNUMBER(E382),E382*G382,G382))</f>
        <v>0</v>
      </c>
      <c r="I382" s="33"/>
      <c r="J382" s="13"/>
    </row>
    <row r="383" customFormat="false" ht="15.75" hidden="false" customHeight="true" outlineLevel="0" collapsed="false">
      <c r="B383" s="36" t="s">
        <v>406</v>
      </c>
      <c r="C383" s="36" t="s">
        <v>412</v>
      </c>
      <c r="D383" s="4"/>
      <c r="E383" s="36"/>
      <c r="F383" s="36"/>
      <c r="G383" s="37" t="n">
        <v>0</v>
      </c>
      <c r="H383" s="35" t="n">
        <f aca="false">IF(E383="",G383,IF(ISNUMBER(E383),E383*G383,G383))</f>
        <v>0</v>
      </c>
      <c r="I383" s="4"/>
      <c r="J383" s="5"/>
    </row>
    <row r="384" customFormat="false" ht="15.75" hidden="false" customHeight="true" outlineLevel="0" collapsed="false">
      <c r="B384" s="32" t="s">
        <v>406</v>
      </c>
      <c r="C384" s="32" t="s">
        <v>413</v>
      </c>
      <c r="D384" s="33"/>
      <c r="E384" s="32"/>
      <c r="F384" s="32"/>
      <c r="G384" s="34" t="n">
        <v>0</v>
      </c>
      <c r="H384" s="35" t="n">
        <f aca="false">IF(E384="",G384,IF(ISNUMBER(E384),E384*G384,G384))</f>
        <v>0</v>
      </c>
      <c r="I384" s="33"/>
      <c r="J384" s="13"/>
    </row>
    <row r="385" customFormat="false" ht="15.75" hidden="false" customHeight="true" outlineLevel="0" collapsed="false">
      <c r="B385" s="36" t="s">
        <v>406</v>
      </c>
      <c r="C385" s="36" t="s">
        <v>414</v>
      </c>
      <c r="D385" s="4"/>
      <c r="E385" s="36"/>
      <c r="F385" s="36"/>
      <c r="G385" s="37" t="n">
        <v>0</v>
      </c>
      <c r="H385" s="35" t="n">
        <f aca="false">IF(E385="",G385,IF(ISNUMBER(E385),E385*G385,G385))</f>
        <v>0</v>
      </c>
      <c r="I385" s="4"/>
      <c r="J385" s="5"/>
    </row>
    <row r="386" customFormat="false" ht="3" hidden="false" customHeight="true" outlineLevel="0" collapsed="false"/>
    <row r="387" customFormat="false" ht="16.5" hidden="false" customHeight="true" outlineLevel="0" collapsed="false">
      <c r="B387" s="30" t="s">
        <v>415</v>
      </c>
      <c r="C387" s="31"/>
      <c r="D387" s="31"/>
      <c r="E387" s="31"/>
      <c r="F387" s="31"/>
      <c r="G387" s="31"/>
      <c r="H387" s="31"/>
      <c r="I387" s="31"/>
      <c r="J387" s="31"/>
    </row>
    <row r="388" customFormat="false" ht="15.75" hidden="false" customHeight="true" outlineLevel="0" collapsed="false">
      <c r="B388" s="32" t="s">
        <v>416</v>
      </c>
      <c r="C388" s="32" t="s">
        <v>417</v>
      </c>
      <c r="D388" s="33"/>
      <c r="E388" s="32"/>
      <c r="F388" s="32"/>
      <c r="G388" s="34" t="n">
        <v>0</v>
      </c>
      <c r="H388" s="35" t="n">
        <f aca="false">IF(E388="",G388,IF(ISNUMBER(E388),E388*G388,G388))</f>
        <v>0</v>
      </c>
      <c r="I388" s="33"/>
      <c r="J388" s="13"/>
    </row>
    <row r="389" customFormat="false" ht="15.75" hidden="false" customHeight="true" outlineLevel="0" collapsed="false">
      <c r="B389" s="36" t="s">
        <v>416</v>
      </c>
      <c r="C389" s="36" t="s">
        <v>418</v>
      </c>
      <c r="D389" s="4"/>
      <c r="E389" s="36"/>
      <c r="F389" s="36"/>
      <c r="G389" s="37" t="n">
        <v>0</v>
      </c>
      <c r="H389" s="35" t="n">
        <f aca="false">IF(E389="",G389,IF(ISNUMBER(E389),E389*G389,G389))</f>
        <v>0</v>
      </c>
      <c r="I389" s="4"/>
      <c r="J389" s="5"/>
    </row>
    <row r="390" customFormat="false" ht="15.75" hidden="false" customHeight="true" outlineLevel="0" collapsed="false">
      <c r="B390" s="32" t="s">
        <v>416</v>
      </c>
      <c r="C390" s="32" t="s">
        <v>419</v>
      </c>
      <c r="D390" s="33"/>
      <c r="E390" s="32"/>
      <c r="F390" s="32"/>
      <c r="G390" s="34" t="n">
        <v>0</v>
      </c>
      <c r="H390" s="35" t="n">
        <f aca="false">IF(E390="",G390,IF(ISNUMBER(E390),E390*G390,G390))</f>
        <v>0</v>
      </c>
      <c r="I390" s="33"/>
      <c r="J390" s="13"/>
    </row>
    <row r="391" customFormat="false" ht="15.75" hidden="false" customHeight="true" outlineLevel="0" collapsed="false">
      <c r="B391" s="36" t="s">
        <v>416</v>
      </c>
      <c r="C391" s="36" t="s">
        <v>420</v>
      </c>
      <c r="D391" s="4"/>
      <c r="E391" s="36"/>
      <c r="F391" s="36"/>
      <c r="G391" s="37" t="n">
        <v>0</v>
      </c>
      <c r="H391" s="35" t="n">
        <f aca="false">IF(E391="",G391,IF(ISNUMBER(E391),E391*G391,G391))</f>
        <v>0</v>
      </c>
      <c r="I391" s="4"/>
      <c r="J391" s="5"/>
    </row>
    <row r="392" customFormat="false" ht="15.75" hidden="false" customHeight="true" outlineLevel="0" collapsed="false">
      <c r="B392" s="32" t="s">
        <v>416</v>
      </c>
      <c r="C392" s="32" t="s">
        <v>421</v>
      </c>
      <c r="D392" s="33"/>
      <c r="E392" s="32"/>
      <c r="F392" s="32"/>
      <c r="G392" s="34" t="n">
        <v>0</v>
      </c>
      <c r="H392" s="35" t="n">
        <f aca="false">IF(E392="",G392,IF(ISNUMBER(E392),E392*G392,G392))</f>
        <v>0</v>
      </c>
      <c r="I392" s="33"/>
      <c r="J392" s="13"/>
    </row>
    <row r="393" customFormat="false" ht="15.75" hidden="false" customHeight="true" outlineLevel="0" collapsed="false">
      <c r="B393" s="36" t="s">
        <v>416</v>
      </c>
      <c r="C393" s="36" t="s">
        <v>422</v>
      </c>
      <c r="D393" s="4"/>
      <c r="E393" s="36"/>
      <c r="F393" s="36"/>
      <c r="G393" s="37" t="n">
        <v>0</v>
      </c>
      <c r="H393" s="35" t="n">
        <f aca="false">IF(E393="",G393,IF(ISNUMBER(E393),E393*G393,G393))</f>
        <v>0</v>
      </c>
      <c r="I393" s="4"/>
      <c r="J393" s="5"/>
    </row>
    <row r="394" customFormat="false" ht="15.75" hidden="false" customHeight="true" outlineLevel="0" collapsed="false">
      <c r="B394" s="32" t="s">
        <v>416</v>
      </c>
      <c r="C394" s="32" t="s">
        <v>423</v>
      </c>
      <c r="D394" s="33"/>
      <c r="E394" s="32"/>
      <c r="F394" s="32"/>
      <c r="G394" s="34" t="n">
        <v>0</v>
      </c>
      <c r="H394" s="35" t="n">
        <f aca="false">IF(E394="",G394,IF(ISNUMBER(E394),E394*G394,G394))</f>
        <v>0</v>
      </c>
      <c r="I394" s="33"/>
      <c r="J394" s="13"/>
    </row>
    <row r="395" customFormat="false" ht="15.75" hidden="false" customHeight="true" outlineLevel="0" collapsed="false">
      <c r="B395" s="36" t="s">
        <v>416</v>
      </c>
      <c r="C395" s="36" t="s">
        <v>424</v>
      </c>
      <c r="D395" s="4"/>
      <c r="E395" s="36"/>
      <c r="F395" s="36"/>
      <c r="G395" s="37" t="n">
        <v>0</v>
      </c>
      <c r="H395" s="35" t="n">
        <f aca="false">IF(E395="",G395,IF(ISNUMBER(E395),E395*G395,G395))</f>
        <v>0</v>
      </c>
      <c r="I395" s="4"/>
      <c r="J395" s="5"/>
    </row>
    <row r="396" customFormat="false" ht="3" hidden="false" customHeight="true" outlineLevel="0" collapsed="false"/>
    <row r="397" customFormat="false" ht="16.5" hidden="false" customHeight="true" outlineLevel="0" collapsed="false">
      <c r="B397" s="30" t="s">
        <v>425</v>
      </c>
      <c r="C397" s="31"/>
      <c r="D397" s="31"/>
      <c r="E397" s="31"/>
      <c r="F397" s="31"/>
      <c r="G397" s="31"/>
      <c r="H397" s="31"/>
      <c r="I397" s="31"/>
      <c r="J397" s="31"/>
    </row>
    <row r="398" customFormat="false" ht="15.75" hidden="false" customHeight="true" outlineLevel="0" collapsed="false">
      <c r="B398" s="32" t="s">
        <v>426</v>
      </c>
      <c r="C398" s="32" t="s">
        <v>427</v>
      </c>
      <c r="D398" s="33"/>
      <c r="E398" s="32"/>
      <c r="F398" s="32"/>
      <c r="G398" s="34" t="n">
        <v>0</v>
      </c>
      <c r="H398" s="35" t="n">
        <f aca="false">IF(E398="",G398,IF(ISNUMBER(E398),E398*G398,G398))</f>
        <v>0</v>
      </c>
      <c r="I398" s="33"/>
      <c r="J398" s="13"/>
    </row>
    <row r="399" customFormat="false" ht="15.75" hidden="false" customHeight="true" outlineLevel="0" collapsed="false">
      <c r="B399" s="36" t="s">
        <v>426</v>
      </c>
      <c r="C399" s="36" t="s">
        <v>428</v>
      </c>
      <c r="D399" s="4"/>
      <c r="E399" s="36"/>
      <c r="F399" s="36"/>
      <c r="G399" s="37" t="n">
        <v>0</v>
      </c>
      <c r="H399" s="35" t="n">
        <f aca="false">IF(E399="",G399,IF(ISNUMBER(E399),E399*G399,G399))</f>
        <v>0</v>
      </c>
      <c r="I399" s="4"/>
      <c r="J399" s="5"/>
    </row>
    <row r="400" customFormat="false" ht="15.75" hidden="false" customHeight="true" outlineLevel="0" collapsed="false">
      <c r="B400" s="32" t="s">
        <v>426</v>
      </c>
      <c r="C400" s="32" t="s">
        <v>429</v>
      </c>
      <c r="D400" s="33"/>
      <c r="E400" s="32"/>
      <c r="F400" s="32"/>
      <c r="G400" s="34" t="n">
        <v>0</v>
      </c>
      <c r="H400" s="35" t="n">
        <f aca="false">IF(E400="",G400,IF(ISNUMBER(E400),E400*G400,G400))</f>
        <v>0</v>
      </c>
      <c r="I400" s="33"/>
      <c r="J400" s="13"/>
    </row>
    <row r="401" customFormat="false" ht="15.75" hidden="false" customHeight="true" outlineLevel="0" collapsed="false">
      <c r="B401" s="36" t="s">
        <v>426</v>
      </c>
      <c r="C401" s="36" t="s">
        <v>430</v>
      </c>
      <c r="D401" s="4"/>
      <c r="E401" s="36"/>
      <c r="F401" s="36"/>
      <c r="G401" s="37" t="n">
        <v>0</v>
      </c>
      <c r="H401" s="35" t="n">
        <f aca="false">IF(E401="",G401,IF(ISNUMBER(E401),E401*G401,G401))</f>
        <v>0</v>
      </c>
      <c r="I401" s="4"/>
      <c r="J401" s="5"/>
    </row>
    <row r="402" customFormat="false" ht="15.75" hidden="false" customHeight="true" outlineLevel="0" collapsed="false">
      <c r="B402" s="32" t="s">
        <v>426</v>
      </c>
      <c r="C402" s="32" t="s">
        <v>431</v>
      </c>
      <c r="D402" s="33"/>
      <c r="E402" s="32"/>
      <c r="F402" s="32"/>
      <c r="G402" s="34" t="n">
        <v>0</v>
      </c>
      <c r="H402" s="35" t="n">
        <f aca="false">IF(E402="",G402,IF(ISNUMBER(E402),E402*G402,G402))</f>
        <v>0</v>
      </c>
      <c r="I402" s="33"/>
      <c r="J402" s="13"/>
    </row>
    <row r="403" customFormat="false" ht="15.75" hidden="false" customHeight="true" outlineLevel="0" collapsed="false">
      <c r="B403" s="36" t="s">
        <v>426</v>
      </c>
      <c r="C403" s="36" t="s">
        <v>432</v>
      </c>
      <c r="D403" s="4"/>
      <c r="E403" s="36"/>
      <c r="F403" s="36"/>
      <c r="G403" s="37" t="n">
        <v>0</v>
      </c>
      <c r="H403" s="35" t="n">
        <f aca="false">IF(E403="",G403,IF(ISNUMBER(E403),E403*G403,G403))</f>
        <v>0</v>
      </c>
      <c r="I403" s="4"/>
      <c r="J403" s="5"/>
    </row>
    <row r="404" customFormat="false" ht="15.75" hidden="false" customHeight="true" outlineLevel="0" collapsed="false">
      <c r="B404" s="32" t="s">
        <v>426</v>
      </c>
      <c r="C404" s="32" t="s">
        <v>433</v>
      </c>
      <c r="D404" s="33"/>
      <c r="E404" s="32"/>
      <c r="F404" s="32"/>
      <c r="G404" s="34" t="n">
        <v>0</v>
      </c>
      <c r="H404" s="35" t="n">
        <f aca="false">IF(E404="",G404,IF(ISNUMBER(E404),E404*G404,G404))</f>
        <v>0</v>
      </c>
      <c r="I404" s="33"/>
      <c r="J404" s="13"/>
    </row>
    <row r="405" customFormat="false" ht="15.75" hidden="false" customHeight="true" outlineLevel="0" collapsed="false">
      <c r="B405" s="36" t="s">
        <v>426</v>
      </c>
      <c r="C405" s="36" t="s">
        <v>434</v>
      </c>
      <c r="D405" s="4"/>
      <c r="E405" s="36"/>
      <c r="F405" s="36"/>
      <c r="G405" s="37" t="n">
        <v>0</v>
      </c>
      <c r="H405" s="35" t="n">
        <f aca="false">IF(E405="",G405,IF(ISNUMBER(E405),E405*G405,G405))</f>
        <v>0</v>
      </c>
      <c r="I405" s="4"/>
      <c r="J405" s="5"/>
    </row>
    <row r="406" customFormat="false" ht="3" hidden="false" customHeight="true" outlineLevel="0" collapsed="false"/>
    <row r="407" customFormat="false" ht="16.5" hidden="false" customHeight="true" outlineLevel="0" collapsed="false">
      <c r="B407" s="30" t="s">
        <v>435</v>
      </c>
      <c r="C407" s="31"/>
      <c r="D407" s="31"/>
      <c r="E407" s="31"/>
      <c r="F407" s="31"/>
      <c r="G407" s="31"/>
      <c r="H407" s="31"/>
      <c r="I407" s="31"/>
      <c r="J407" s="31"/>
    </row>
    <row r="408" customFormat="false" ht="15.75" hidden="false" customHeight="true" outlineLevel="0" collapsed="false">
      <c r="B408" s="32" t="s">
        <v>436</v>
      </c>
      <c r="C408" s="32" t="s">
        <v>437</v>
      </c>
      <c r="D408" s="33"/>
      <c r="E408" s="32"/>
      <c r="F408" s="32"/>
      <c r="G408" s="34" t="n">
        <v>0</v>
      </c>
      <c r="H408" s="35" t="n">
        <f aca="false">IF(E408="",G408,IF(ISNUMBER(E408),E408*G408,G408))</f>
        <v>0</v>
      </c>
      <c r="I408" s="33"/>
      <c r="J408" s="13"/>
    </row>
    <row r="409" customFormat="false" ht="15.75" hidden="false" customHeight="true" outlineLevel="0" collapsed="false">
      <c r="B409" s="36" t="s">
        <v>436</v>
      </c>
      <c r="C409" s="36" t="s">
        <v>438</v>
      </c>
      <c r="D409" s="4"/>
      <c r="E409" s="36"/>
      <c r="F409" s="36"/>
      <c r="G409" s="37" t="n">
        <v>0</v>
      </c>
      <c r="H409" s="35" t="n">
        <f aca="false">IF(E409="",G409,IF(ISNUMBER(E409),E409*G409,G409))</f>
        <v>0</v>
      </c>
      <c r="I409" s="4"/>
      <c r="J409" s="5"/>
    </row>
    <row r="410" customFormat="false" ht="15.75" hidden="false" customHeight="true" outlineLevel="0" collapsed="false">
      <c r="B410" s="32" t="s">
        <v>436</v>
      </c>
      <c r="C410" s="32" t="s">
        <v>439</v>
      </c>
      <c r="D410" s="33"/>
      <c r="E410" s="32"/>
      <c r="F410" s="32"/>
      <c r="G410" s="34" t="n">
        <v>0</v>
      </c>
      <c r="H410" s="35" t="n">
        <f aca="false">IF(E410="",G410,IF(ISNUMBER(E410),E410*G410,G410))</f>
        <v>0</v>
      </c>
      <c r="I410" s="33"/>
      <c r="J410" s="13"/>
    </row>
    <row r="411" customFormat="false" ht="15.75" hidden="false" customHeight="true" outlineLevel="0" collapsed="false">
      <c r="B411" s="36" t="s">
        <v>436</v>
      </c>
      <c r="C411" s="36" t="s">
        <v>440</v>
      </c>
      <c r="D411" s="4"/>
      <c r="E411" s="36"/>
      <c r="F411" s="36"/>
      <c r="G411" s="37" t="n">
        <v>0</v>
      </c>
      <c r="H411" s="35" t="n">
        <f aca="false">IF(E411="",G411,IF(ISNUMBER(E411),E411*G411,G411))</f>
        <v>0</v>
      </c>
      <c r="I411" s="4"/>
      <c r="J411" s="5"/>
    </row>
    <row r="412" customFormat="false" ht="15.75" hidden="false" customHeight="true" outlineLevel="0" collapsed="false">
      <c r="B412" s="32" t="s">
        <v>436</v>
      </c>
      <c r="C412" s="32" t="s">
        <v>441</v>
      </c>
      <c r="D412" s="33"/>
      <c r="E412" s="32"/>
      <c r="F412" s="32"/>
      <c r="G412" s="34" t="n">
        <v>0</v>
      </c>
      <c r="H412" s="35" t="n">
        <f aca="false">IF(E412="",G412,IF(ISNUMBER(E412),E412*G412,G412))</f>
        <v>0</v>
      </c>
      <c r="I412" s="33"/>
      <c r="J412" s="13"/>
    </row>
    <row r="413" customFormat="false" ht="15.75" hidden="false" customHeight="true" outlineLevel="0" collapsed="false">
      <c r="B413" s="36" t="s">
        <v>436</v>
      </c>
      <c r="C413" s="36" t="s">
        <v>442</v>
      </c>
      <c r="D413" s="4"/>
      <c r="E413" s="36"/>
      <c r="F413" s="36"/>
      <c r="G413" s="37" t="n">
        <v>0</v>
      </c>
      <c r="H413" s="35" t="n">
        <f aca="false">IF(E413="",G413,IF(ISNUMBER(E413),E413*G413,G413))</f>
        <v>0</v>
      </c>
      <c r="I413" s="4"/>
      <c r="J413" s="5"/>
    </row>
    <row r="414" customFormat="false" ht="15.75" hidden="false" customHeight="true" outlineLevel="0" collapsed="false">
      <c r="B414" s="32" t="s">
        <v>436</v>
      </c>
      <c r="C414" s="32" t="s">
        <v>443</v>
      </c>
      <c r="D414" s="33"/>
      <c r="E414" s="32"/>
      <c r="F414" s="32"/>
      <c r="G414" s="34" t="n">
        <v>0</v>
      </c>
      <c r="H414" s="35" t="n">
        <f aca="false">IF(E414="",G414,IF(ISNUMBER(E414),E414*G414,G414))</f>
        <v>0</v>
      </c>
      <c r="I414" s="33"/>
      <c r="J414" s="13"/>
    </row>
    <row r="415" customFormat="false" ht="15.75" hidden="false" customHeight="true" outlineLevel="0" collapsed="false">
      <c r="B415" s="36" t="s">
        <v>436</v>
      </c>
      <c r="C415" s="36" t="s">
        <v>444</v>
      </c>
      <c r="D415" s="4"/>
      <c r="E415" s="36"/>
      <c r="F415" s="36"/>
      <c r="G415" s="37" t="n">
        <v>0</v>
      </c>
      <c r="H415" s="35" t="n">
        <f aca="false">IF(E415="",G415,IF(ISNUMBER(E415),E415*G415,G415))</f>
        <v>0</v>
      </c>
      <c r="I415" s="4"/>
      <c r="J415" s="5"/>
    </row>
    <row r="416" customFormat="false" ht="3" hidden="false" customHeight="true" outlineLevel="0" collapsed="false"/>
    <row r="417" customFormat="false" ht="16.5" hidden="false" customHeight="true" outlineLevel="0" collapsed="false">
      <c r="B417" s="30" t="s">
        <v>445</v>
      </c>
      <c r="C417" s="31"/>
      <c r="D417" s="31"/>
      <c r="E417" s="31"/>
      <c r="F417" s="31"/>
      <c r="G417" s="31"/>
      <c r="H417" s="31"/>
      <c r="I417" s="31"/>
      <c r="J417" s="31"/>
    </row>
    <row r="418" customFormat="false" ht="15.75" hidden="false" customHeight="true" outlineLevel="0" collapsed="false">
      <c r="B418" s="32" t="s">
        <v>446</v>
      </c>
      <c r="C418" s="32" t="s">
        <v>447</v>
      </c>
      <c r="D418" s="33"/>
      <c r="E418" s="32"/>
      <c r="F418" s="32"/>
      <c r="G418" s="34" t="n">
        <v>0</v>
      </c>
      <c r="H418" s="35" t="n">
        <f aca="false">IF(E418="",G418,IF(ISNUMBER(E418),E418*G418,G418))</f>
        <v>0</v>
      </c>
      <c r="I418" s="33"/>
      <c r="J418" s="13"/>
    </row>
    <row r="419" customFormat="false" ht="15.75" hidden="false" customHeight="true" outlineLevel="0" collapsed="false">
      <c r="B419" s="36" t="s">
        <v>446</v>
      </c>
      <c r="C419" s="36" t="s">
        <v>448</v>
      </c>
      <c r="D419" s="4"/>
      <c r="E419" s="36"/>
      <c r="F419" s="36"/>
      <c r="G419" s="37" t="n">
        <v>0</v>
      </c>
      <c r="H419" s="35" t="n">
        <f aca="false">IF(E419="",G419,IF(ISNUMBER(E419),E419*G419,G419))</f>
        <v>0</v>
      </c>
      <c r="I419" s="4"/>
      <c r="J419" s="5"/>
    </row>
    <row r="420" customFormat="false" ht="15.75" hidden="false" customHeight="true" outlineLevel="0" collapsed="false">
      <c r="B420" s="32" t="s">
        <v>446</v>
      </c>
      <c r="C420" s="32" t="s">
        <v>449</v>
      </c>
      <c r="D420" s="33"/>
      <c r="E420" s="32"/>
      <c r="F420" s="32"/>
      <c r="G420" s="34" t="n">
        <v>0</v>
      </c>
      <c r="H420" s="35" t="n">
        <f aca="false">IF(E420="",G420,IF(ISNUMBER(E420),E420*G420,G420))</f>
        <v>0</v>
      </c>
      <c r="I420" s="33"/>
      <c r="J420" s="13"/>
    </row>
    <row r="421" customFormat="false" ht="15.75" hidden="false" customHeight="true" outlineLevel="0" collapsed="false">
      <c r="B421" s="36" t="s">
        <v>446</v>
      </c>
      <c r="C421" s="36" t="s">
        <v>450</v>
      </c>
      <c r="D421" s="4"/>
      <c r="E421" s="36"/>
      <c r="F421" s="36"/>
      <c r="G421" s="37" t="n">
        <v>0</v>
      </c>
      <c r="H421" s="35" t="n">
        <f aca="false">IF(E421="",G421,IF(ISNUMBER(E421),E421*G421,G421))</f>
        <v>0</v>
      </c>
      <c r="I421" s="4"/>
      <c r="J421" s="5"/>
    </row>
    <row r="422" customFormat="false" ht="15.75" hidden="false" customHeight="true" outlineLevel="0" collapsed="false">
      <c r="B422" s="32" t="s">
        <v>446</v>
      </c>
      <c r="C422" s="32" t="s">
        <v>451</v>
      </c>
      <c r="D422" s="33"/>
      <c r="E422" s="32"/>
      <c r="F422" s="32"/>
      <c r="G422" s="34" t="n">
        <v>0</v>
      </c>
      <c r="H422" s="35" t="n">
        <f aca="false">IF(E422="",G422,IF(ISNUMBER(E422),E422*G422,G422))</f>
        <v>0</v>
      </c>
      <c r="I422" s="33"/>
      <c r="J422" s="13"/>
    </row>
    <row r="423" customFormat="false" ht="15.75" hidden="false" customHeight="true" outlineLevel="0" collapsed="false">
      <c r="B423" s="36" t="s">
        <v>446</v>
      </c>
      <c r="C423" s="36" t="s">
        <v>452</v>
      </c>
      <c r="D423" s="4"/>
      <c r="E423" s="36"/>
      <c r="F423" s="36"/>
      <c r="G423" s="37" t="n">
        <v>0</v>
      </c>
      <c r="H423" s="35" t="n">
        <f aca="false">IF(E423="",G423,IF(ISNUMBER(E423),E423*G423,G423))</f>
        <v>0</v>
      </c>
      <c r="I423" s="4"/>
      <c r="J423" s="5"/>
    </row>
    <row r="424" customFormat="false" ht="15.75" hidden="false" customHeight="true" outlineLevel="0" collapsed="false">
      <c r="B424" s="32" t="s">
        <v>446</v>
      </c>
      <c r="C424" s="32" t="s">
        <v>453</v>
      </c>
      <c r="D424" s="33"/>
      <c r="E424" s="32"/>
      <c r="F424" s="32"/>
      <c r="G424" s="34" t="n">
        <v>0</v>
      </c>
      <c r="H424" s="35" t="n">
        <f aca="false">IF(E424="",G424,IF(ISNUMBER(E424),E424*G424,G424))</f>
        <v>0</v>
      </c>
      <c r="I424" s="33"/>
      <c r="J424" s="13"/>
    </row>
    <row r="425" customFormat="false" ht="15.75" hidden="false" customHeight="true" outlineLevel="0" collapsed="false">
      <c r="B425" s="36" t="s">
        <v>446</v>
      </c>
      <c r="C425" s="36" t="s">
        <v>454</v>
      </c>
      <c r="D425" s="4"/>
      <c r="E425" s="36"/>
      <c r="F425" s="36"/>
      <c r="G425" s="37" t="n">
        <v>0</v>
      </c>
      <c r="H425" s="35" t="n">
        <f aca="false">IF(E425="",G425,IF(ISNUMBER(E425),E425*G425,G425))</f>
        <v>0</v>
      </c>
      <c r="I425" s="4"/>
      <c r="J425" s="5"/>
    </row>
    <row r="426" customFormat="false" ht="3" hidden="false" customHeight="true" outlineLevel="0" collapsed="false"/>
    <row r="427" customFormat="false" ht="16.5" hidden="false" customHeight="true" outlineLevel="0" collapsed="false">
      <c r="B427" s="30" t="s">
        <v>455</v>
      </c>
      <c r="C427" s="31"/>
      <c r="D427" s="31"/>
      <c r="E427" s="31"/>
      <c r="F427" s="31"/>
      <c r="G427" s="31"/>
      <c r="H427" s="31"/>
      <c r="I427" s="31"/>
      <c r="J427" s="31"/>
    </row>
    <row r="428" customFormat="false" ht="15.75" hidden="false" customHeight="true" outlineLevel="0" collapsed="false">
      <c r="B428" s="32" t="s">
        <v>456</v>
      </c>
      <c r="C428" s="32" t="s">
        <v>457</v>
      </c>
      <c r="D428" s="33"/>
      <c r="E428" s="32"/>
      <c r="F428" s="32"/>
      <c r="G428" s="34" t="n">
        <v>0</v>
      </c>
      <c r="H428" s="35" t="n">
        <f aca="false">IF(E428="",G428,IF(ISNUMBER(E428),E428*G428,G428))</f>
        <v>0</v>
      </c>
      <c r="I428" s="33"/>
      <c r="J428" s="13"/>
    </row>
    <row r="429" customFormat="false" ht="15.75" hidden="false" customHeight="true" outlineLevel="0" collapsed="false">
      <c r="B429" s="36" t="s">
        <v>456</v>
      </c>
      <c r="C429" s="36" t="s">
        <v>458</v>
      </c>
      <c r="D429" s="4"/>
      <c r="E429" s="36"/>
      <c r="F429" s="36"/>
      <c r="G429" s="37" t="n">
        <v>0</v>
      </c>
      <c r="H429" s="35" t="n">
        <f aca="false">IF(E429="",G429,IF(ISNUMBER(E429),E429*G429,G429))</f>
        <v>0</v>
      </c>
      <c r="I429" s="4"/>
      <c r="J429" s="5"/>
    </row>
    <row r="430" customFormat="false" ht="15.75" hidden="false" customHeight="true" outlineLevel="0" collapsed="false">
      <c r="B430" s="32" t="s">
        <v>456</v>
      </c>
      <c r="C430" s="32" t="s">
        <v>459</v>
      </c>
      <c r="D430" s="33"/>
      <c r="E430" s="32"/>
      <c r="F430" s="32"/>
      <c r="G430" s="34" t="n">
        <v>0</v>
      </c>
      <c r="H430" s="35" t="n">
        <f aca="false">IF(E430="",G430,IF(ISNUMBER(E430),E430*G430,G430))</f>
        <v>0</v>
      </c>
      <c r="I430" s="33"/>
      <c r="J430" s="13"/>
    </row>
    <row r="431" customFormat="false" ht="15.75" hidden="false" customHeight="true" outlineLevel="0" collapsed="false">
      <c r="B431" s="36" t="s">
        <v>456</v>
      </c>
      <c r="C431" s="36" t="s">
        <v>460</v>
      </c>
      <c r="D431" s="4"/>
      <c r="E431" s="36"/>
      <c r="F431" s="36"/>
      <c r="G431" s="37" t="n">
        <v>0</v>
      </c>
      <c r="H431" s="35" t="n">
        <f aca="false">IF(E431="",G431,IF(ISNUMBER(E431),E431*G431,G431))</f>
        <v>0</v>
      </c>
      <c r="I431" s="4"/>
      <c r="J431" s="5"/>
    </row>
    <row r="432" customFormat="false" ht="15.75" hidden="false" customHeight="true" outlineLevel="0" collapsed="false">
      <c r="B432" s="32" t="s">
        <v>456</v>
      </c>
      <c r="C432" s="32" t="s">
        <v>461</v>
      </c>
      <c r="D432" s="33"/>
      <c r="E432" s="32"/>
      <c r="F432" s="32"/>
      <c r="G432" s="34" t="n">
        <v>0</v>
      </c>
      <c r="H432" s="35" t="n">
        <f aca="false">IF(E432="",G432,IF(ISNUMBER(E432),E432*G432,G432))</f>
        <v>0</v>
      </c>
      <c r="I432" s="33"/>
      <c r="J432" s="13"/>
    </row>
    <row r="433" customFormat="false" ht="15.75" hidden="false" customHeight="true" outlineLevel="0" collapsed="false">
      <c r="B433" s="36" t="s">
        <v>456</v>
      </c>
      <c r="C433" s="36" t="s">
        <v>462</v>
      </c>
      <c r="D433" s="4"/>
      <c r="E433" s="36"/>
      <c r="F433" s="36"/>
      <c r="G433" s="37" t="n">
        <v>0</v>
      </c>
      <c r="H433" s="35" t="n">
        <f aca="false">IF(E433="",G433,IF(ISNUMBER(E433),E433*G433,G433))</f>
        <v>0</v>
      </c>
      <c r="I433" s="4"/>
      <c r="J433" s="5"/>
    </row>
    <row r="434" customFormat="false" ht="15.75" hidden="false" customHeight="true" outlineLevel="0" collapsed="false">
      <c r="B434" s="32" t="s">
        <v>456</v>
      </c>
      <c r="C434" s="32" t="s">
        <v>463</v>
      </c>
      <c r="D434" s="33"/>
      <c r="E434" s="32"/>
      <c r="F434" s="32"/>
      <c r="G434" s="34" t="n">
        <v>0</v>
      </c>
      <c r="H434" s="35" t="n">
        <f aca="false">IF(E434="",G434,IF(ISNUMBER(E434),E434*G434,G434))</f>
        <v>0</v>
      </c>
      <c r="I434" s="33"/>
      <c r="J434" s="13"/>
    </row>
    <row r="435" customFormat="false" ht="15.75" hidden="false" customHeight="true" outlineLevel="0" collapsed="false">
      <c r="B435" s="36" t="s">
        <v>456</v>
      </c>
      <c r="C435" s="36" t="s">
        <v>464</v>
      </c>
      <c r="D435" s="4"/>
      <c r="E435" s="36"/>
      <c r="F435" s="36"/>
      <c r="G435" s="37" t="n">
        <v>0</v>
      </c>
      <c r="H435" s="35" t="n">
        <f aca="false">IF(E435="",G435,IF(ISNUMBER(E435),E435*G435,G435))</f>
        <v>0</v>
      </c>
      <c r="I435" s="4"/>
      <c r="J435" s="5"/>
    </row>
    <row r="436" customFormat="false" ht="3" hidden="false" customHeight="true" outlineLevel="0" collapsed="false"/>
    <row r="437" customFormat="false" ht="16.5" hidden="false" customHeight="true" outlineLevel="0" collapsed="false">
      <c r="B437" s="30" t="s">
        <v>465</v>
      </c>
      <c r="C437" s="31"/>
      <c r="D437" s="31"/>
      <c r="E437" s="31"/>
      <c r="F437" s="31"/>
      <c r="G437" s="31"/>
      <c r="H437" s="31"/>
      <c r="I437" s="31"/>
      <c r="J437" s="31"/>
    </row>
    <row r="438" customFormat="false" ht="15.75" hidden="false" customHeight="true" outlineLevel="0" collapsed="false">
      <c r="B438" s="32" t="s">
        <v>466</v>
      </c>
      <c r="C438" s="32" t="s">
        <v>467</v>
      </c>
      <c r="D438" s="33"/>
      <c r="E438" s="32"/>
      <c r="F438" s="32"/>
      <c r="G438" s="34" t="n">
        <v>0</v>
      </c>
      <c r="H438" s="35" t="n">
        <f aca="false">IF(E438="",G438,IF(ISNUMBER(E438),E438*G438,G438))</f>
        <v>0</v>
      </c>
      <c r="I438" s="33"/>
      <c r="J438" s="13"/>
    </row>
    <row r="439" customFormat="false" ht="15.75" hidden="false" customHeight="true" outlineLevel="0" collapsed="false">
      <c r="B439" s="36" t="s">
        <v>466</v>
      </c>
      <c r="C439" s="36" t="s">
        <v>468</v>
      </c>
      <c r="D439" s="4"/>
      <c r="E439" s="36"/>
      <c r="F439" s="36"/>
      <c r="G439" s="37" t="n">
        <v>0</v>
      </c>
      <c r="H439" s="35" t="n">
        <f aca="false">IF(E439="",G439,IF(ISNUMBER(E439),E439*G439,G439))</f>
        <v>0</v>
      </c>
      <c r="I439" s="4"/>
      <c r="J439" s="5"/>
    </row>
    <row r="440" customFormat="false" ht="15.75" hidden="false" customHeight="true" outlineLevel="0" collapsed="false">
      <c r="B440" s="32" t="s">
        <v>466</v>
      </c>
      <c r="C440" s="32" t="s">
        <v>469</v>
      </c>
      <c r="D440" s="33"/>
      <c r="E440" s="32"/>
      <c r="F440" s="32"/>
      <c r="G440" s="34" t="n">
        <v>0</v>
      </c>
      <c r="H440" s="35" t="n">
        <f aca="false">IF(E440="",G440,IF(ISNUMBER(E440),E440*G440,G440))</f>
        <v>0</v>
      </c>
      <c r="I440" s="33"/>
      <c r="J440" s="13"/>
    </row>
    <row r="441" customFormat="false" ht="15.75" hidden="false" customHeight="true" outlineLevel="0" collapsed="false">
      <c r="B441" s="36" t="s">
        <v>466</v>
      </c>
      <c r="C441" s="36" t="s">
        <v>470</v>
      </c>
      <c r="D441" s="4"/>
      <c r="E441" s="36"/>
      <c r="F441" s="36"/>
      <c r="G441" s="37" t="n">
        <v>0</v>
      </c>
      <c r="H441" s="35" t="n">
        <f aca="false">IF(E441="",G441,IF(ISNUMBER(E441),E441*G441,G441))</f>
        <v>0</v>
      </c>
      <c r="I441" s="4"/>
      <c r="J441" s="5"/>
    </row>
    <row r="442" customFormat="false" ht="15.75" hidden="false" customHeight="true" outlineLevel="0" collapsed="false">
      <c r="B442" s="32" t="s">
        <v>466</v>
      </c>
      <c r="C442" s="32" t="s">
        <v>471</v>
      </c>
      <c r="D442" s="33"/>
      <c r="E442" s="32"/>
      <c r="F442" s="32"/>
      <c r="G442" s="34" t="n">
        <v>0</v>
      </c>
      <c r="H442" s="35" t="n">
        <f aca="false">IF(E442="",G442,IF(ISNUMBER(E442),E442*G442,G442))</f>
        <v>0</v>
      </c>
      <c r="I442" s="33"/>
      <c r="J442" s="13"/>
    </row>
    <row r="443" customFormat="false" ht="15.75" hidden="false" customHeight="true" outlineLevel="0" collapsed="false">
      <c r="B443" s="36" t="s">
        <v>466</v>
      </c>
      <c r="C443" s="36" t="s">
        <v>472</v>
      </c>
      <c r="D443" s="4"/>
      <c r="E443" s="36"/>
      <c r="F443" s="36"/>
      <c r="G443" s="37" t="n">
        <v>0</v>
      </c>
      <c r="H443" s="35" t="n">
        <f aca="false">IF(E443="",G443,IF(ISNUMBER(E443),E443*G443,G443))</f>
        <v>0</v>
      </c>
      <c r="I443" s="4"/>
      <c r="J443" s="5"/>
    </row>
    <row r="444" customFormat="false" ht="15.75" hidden="false" customHeight="true" outlineLevel="0" collapsed="false">
      <c r="B444" s="32" t="s">
        <v>466</v>
      </c>
      <c r="C444" s="32" t="s">
        <v>473</v>
      </c>
      <c r="D444" s="33"/>
      <c r="E444" s="32"/>
      <c r="F444" s="32"/>
      <c r="G444" s="34" t="n">
        <v>0</v>
      </c>
      <c r="H444" s="35" t="n">
        <f aca="false">IF(E444="",G444,IF(ISNUMBER(E444),E444*G444,G444))</f>
        <v>0</v>
      </c>
      <c r="I444" s="33"/>
      <c r="J444" s="13"/>
    </row>
    <row r="445" customFormat="false" ht="15.75" hidden="false" customHeight="true" outlineLevel="0" collapsed="false">
      <c r="B445" s="36" t="s">
        <v>466</v>
      </c>
      <c r="C445" s="36" t="s">
        <v>474</v>
      </c>
      <c r="D445" s="4"/>
      <c r="E445" s="36"/>
      <c r="F445" s="36"/>
      <c r="G445" s="37" t="n">
        <v>0</v>
      </c>
      <c r="H445" s="35" t="n">
        <f aca="false">IF(E445="",G445,IF(ISNUMBER(E445),E445*G445,G445))</f>
        <v>0</v>
      </c>
      <c r="I445" s="4"/>
      <c r="J445" s="5"/>
    </row>
    <row r="446" customFormat="false" ht="3" hidden="false" customHeight="true" outlineLevel="0" collapsed="false"/>
    <row r="447" customFormat="false" ht="19.5" hidden="false" customHeight="true" outlineLevel="0" collapsed="false">
      <c r="B447" s="38" t="s">
        <v>475</v>
      </c>
      <c r="C447" s="2"/>
      <c r="D447" s="2"/>
      <c r="E447" s="2"/>
      <c r="F447" s="2"/>
      <c r="G447" s="2"/>
      <c r="H447" s="39" t="n">
        <f aca="false">SUMIF(B7:B446,"&lt;&gt;",H7:H446)</f>
        <v>0</v>
      </c>
      <c r="I447" s="2"/>
      <c r="J4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12" min="6" style="0" width="14"/>
    <col collapsed="false" customWidth="true" hidden="false" outlineLevel="0" max="13" min="13" style="0" width="5"/>
  </cols>
  <sheetData>
    <row r="2" customFormat="false" ht="39.75" hidden="false" customHeight="true" outlineLevel="0" collapsed="false">
      <c r="B2" s="1" t="s">
        <v>476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.5" hidden="false" customHeight="true" outlineLevel="0" collapsed="false"/>
    <row r="4" customFormat="false" ht="15.75" hidden="false" customHeight="true" outlineLevel="0" collapsed="false">
      <c r="B4" s="29" t="s">
        <v>477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4.5" hidden="false" customHeight="true" outlineLevel="0" collapsed="false"/>
    <row r="6" customFormat="false" ht="19.5" hidden="false" customHeight="true" outlineLevel="0" collapsed="false">
      <c r="B6" s="40" t="s">
        <v>478</v>
      </c>
      <c r="C6" s="40" t="s">
        <v>479</v>
      </c>
      <c r="D6" s="41" t="n">
        <v>0.15</v>
      </c>
      <c r="E6" s="41" t="n">
        <v>0.1</v>
      </c>
      <c r="F6" s="42" t="s">
        <v>480</v>
      </c>
      <c r="G6" s="5"/>
      <c r="H6" s="5"/>
      <c r="I6" s="5"/>
      <c r="J6" s="5"/>
      <c r="K6" s="5"/>
      <c r="L6" s="5"/>
      <c r="M6" s="5"/>
    </row>
    <row r="7" customFormat="false" ht="4.5" hidden="false" customHeight="true" outlineLevel="0" collapsed="false"/>
    <row r="8" customFormat="false" ht="13.5" hidden="false" customHeight="true" outlineLevel="0" collapsed="false">
      <c r="B8" s="29" t="s">
        <v>481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30" hidden="false" customHeight="true" outlineLevel="0" collapsed="false">
      <c r="B9" s="15" t="s">
        <v>19</v>
      </c>
      <c r="C9" s="15" t="s">
        <v>20</v>
      </c>
      <c r="D9" s="15" t="s">
        <v>482</v>
      </c>
      <c r="E9" s="15" t="s">
        <v>483</v>
      </c>
      <c r="F9" s="15" t="s">
        <v>9</v>
      </c>
      <c r="G9" s="15" t="s">
        <v>10</v>
      </c>
      <c r="H9" s="15" t="s">
        <v>484</v>
      </c>
      <c r="I9" s="15" t="s">
        <v>11</v>
      </c>
      <c r="J9" s="15" t="s">
        <v>485</v>
      </c>
      <c r="K9" s="15" t="s">
        <v>486</v>
      </c>
      <c r="L9" s="15" t="s">
        <v>17</v>
      </c>
      <c r="M9" s="15" t="s">
        <v>34</v>
      </c>
    </row>
    <row r="10" customFormat="false" ht="16.5" hidden="false" customHeight="true" outlineLevel="0" collapsed="false">
      <c r="B10" s="32" t="s">
        <v>36</v>
      </c>
      <c r="C10" s="33" t="s">
        <v>487</v>
      </c>
      <c r="D10" s="43" t="n">
        <f aca="false">SUMIFS('BOQ Detail'!H7:H446,'BOQ Detail'!B7:B446,B10)</f>
        <v>0</v>
      </c>
      <c r="E10" s="20" t="n">
        <f aca="false">COUNTIFS('Variation Register'!$B$6:$B$205,B10,'Variation Register'!$F$6:$F$205,"Approved")</f>
        <v>0</v>
      </c>
      <c r="F10" s="43" t="n">
        <f aca="false">SUMIFS('Variation Register'!$E$6:$E$205,'Variation Register'!$B$6:$B$205,B10,'Variation Register'!$F$6:$F$205,"Approved")</f>
        <v>0</v>
      </c>
      <c r="G10" s="44" t="n">
        <f aca="false">D10+F10</f>
        <v>0</v>
      </c>
      <c r="H10" s="43" t="n">
        <f aca="false">SUMIFS('PO Register'!$F$6:$F$205,'PO Register'!$B$6:$B$205,B10)</f>
        <v>0</v>
      </c>
      <c r="I10" s="43" t="n">
        <f aca="false">SUMIFS('Invoice Register'!$G$6:$G$405,'Invoice Register'!$B$6:$B$405,B10,'Invoice Register'!$K$6:$K$405,"Paid")+SUMIFS('Invoice Register'!$G$6:$G$405,'Invoice Register'!$B$6:$B$405,B10,'Invoice Register'!$K$6:$K$405,"Approved")+SUMIFS('Site Diary'!$I$6:$I$505,'Site Diary'!$H$6:$H$505,B10)</f>
        <v>0</v>
      </c>
      <c r="J10" s="43" t="n">
        <f aca="false">IF(H10=0,I10,MAX(H10,I10))</f>
        <v>0</v>
      </c>
      <c r="K10" s="43" t="n">
        <f aca="false">G10-J10</f>
        <v>0</v>
      </c>
      <c r="L10" s="45" t="n">
        <f aca="false">G10-I10</f>
        <v>0</v>
      </c>
      <c r="M10" s="33"/>
    </row>
    <row r="11" customFormat="false" ht="16.5" hidden="false" customHeight="true" outlineLevel="0" collapsed="false">
      <c r="B11" s="36" t="s">
        <v>46</v>
      </c>
      <c r="C11" s="4" t="s">
        <v>488</v>
      </c>
      <c r="D11" s="46" t="n">
        <f aca="false">SUMIFS('BOQ Detail'!H7:H446,'BOQ Detail'!B7:B446,B11)</f>
        <v>0</v>
      </c>
      <c r="E11" s="25" t="n">
        <f aca="false">COUNTIFS('Variation Register'!$B$6:$B$205,B11,'Variation Register'!$F$6:$F$205,"Approved")</f>
        <v>0</v>
      </c>
      <c r="F11" s="46" t="n">
        <f aca="false">SUMIFS('Variation Register'!$E$6:$E$205,'Variation Register'!$B$6:$B$205,B11,'Variation Register'!$F$6:$F$205,"Approved")</f>
        <v>0</v>
      </c>
      <c r="G11" s="44" t="n">
        <f aca="false">D11+F11</f>
        <v>0</v>
      </c>
      <c r="H11" s="46" t="n">
        <f aca="false">SUMIFS('PO Register'!$F$6:$F$205,'PO Register'!$B$6:$B$205,B11)</f>
        <v>0</v>
      </c>
      <c r="I11" s="46" t="n">
        <f aca="false">SUMIFS('Invoice Register'!$G$6:$G$405,'Invoice Register'!$B$6:$B$405,B11,'Invoice Register'!$K$6:$K$405,"Paid")+SUMIFS('Invoice Register'!$G$6:$G$405,'Invoice Register'!$B$6:$B$405,B11,'Invoice Register'!$K$6:$K$405,"Approved")+SUMIFS('Site Diary'!$I$6:$I$505,'Site Diary'!$H$6:$H$505,B11)</f>
        <v>0</v>
      </c>
      <c r="J11" s="46" t="n">
        <f aca="false">IF(H11=0,I11,MAX(H11,I11))</f>
        <v>0</v>
      </c>
      <c r="K11" s="46" t="n">
        <f aca="false">G11-J11</f>
        <v>0</v>
      </c>
      <c r="L11" s="43" t="n">
        <f aca="false">G11-I11</f>
        <v>0</v>
      </c>
      <c r="M11" s="4"/>
    </row>
    <row r="12" customFormat="false" ht="16.5" hidden="false" customHeight="true" outlineLevel="0" collapsed="false">
      <c r="B12" s="32" t="s">
        <v>56</v>
      </c>
      <c r="C12" s="33" t="s">
        <v>489</v>
      </c>
      <c r="D12" s="43" t="n">
        <f aca="false">SUMIFS('BOQ Detail'!H7:H446,'BOQ Detail'!B7:B446,B12)</f>
        <v>0</v>
      </c>
      <c r="E12" s="20" t="n">
        <f aca="false">COUNTIFS('Variation Register'!$B$6:$B$205,B12,'Variation Register'!$F$6:$F$205,"Approved")</f>
        <v>0</v>
      </c>
      <c r="F12" s="43" t="n">
        <f aca="false">SUMIFS('Variation Register'!$E$6:$E$205,'Variation Register'!$B$6:$B$205,B12,'Variation Register'!$F$6:$F$205,"Approved")</f>
        <v>0</v>
      </c>
      <c r="G12" s="44" t="n">
        <f aca="false">D12+F12</f>
        <v>0</v>
      </c>
      <c r="H12" s="43" t="n">
        <f aca="false">SUMIFS('PO Register'!$F$6:$F$205,'PO Register'!$B$6:$B$205,B12)</f>
        <v>0</v>
      </c>
      <c r="I12" s="43" t="n">
        <f aca="false">SUMIFS('Invoice Register'!$G$6:$G$405,'Invoice Register'!$B$6:$B$405,B12,'Invoice Register'!$K$6:$K$405,"Paid")+SUMIFS('Invoice Register'!$G$6:$G$405,'Invoice Register'!$B$6:$B$405,B12,'Invoice Register'!$K$6:$K$405,"Approved")+SUMIFS('Site Diary'!$I$6:$I$505,'Site Diary'!$H$6:$H$505,B12)</f>
        <v>0</v>
      </c>
      <c r="J12" s="43" t="n">
        <f aca="false">IF(H12=0,I12,MAX(H12,I12))</f>
        <v>0</v>
      </c>
      <c r="K12" s="43" t="n">
        <f aca="false">G12-J12</f>
        <v>0</v>
      </c>
      <c r="L12" s="45" t="n">
        <f aca="false">G12-I12</f>
        <v>0</v>
      </c>
      <c r="M12" s="33"/>
    </row>
    <row r="13" customFormat="false" ht="16.5" hidden="false" customHeight="true" outlineLevel="0" collapsed="false">
      <c r="B13" s="36" t="s">
        <v>66</v>
      </c>
      <c r="C13" s="4" t="s">
        <v>490</v>
      </c>
      <c r="D13" s="46" t="n">
        <f aca="false">SUMIFS('BOQ Detail'!H7:H446,'BOQ Detail'!B7:B446,B13)</f>
        <v>0</v>
      </c>
      <c r="E13" s="25" t="n">
        <f aca="false">COUNTIFS('Variation Register'!$B$6:$B$205,B13,'Variation Register'!$F$6:$F$205,"Approved")</f>
        <v>0</v>
      </c>
      <c r="F13" s="46" t="n">
        <f aca="false">SUMIFS('Variation Register'!$E$6:$E$205,'Variation Register'!$B$6:$B$205,B13,'Variation Register'!$F$6:$F$205,"Approved")</f>
        <v>0</v>
      </c>
      <c r="G13" s="44" t="n">
        <f aca="false">D13+F13</f>
        <v>0</v>
      </c>
      <c r="H13" s="46" t="n">
        <f aca="false">SUMIFS('PO Register'!$F$6:$F$205,'PO Register'!$B$6:$B$205,B13)</f>
        <v>0</v>
      </c>
      <c r="I13" s="46" t="n">
        <f aca="false">SUMIFS('Invoice Register'!$G$6:$G$405,'Invoice Register'!$B$6:$B$405,B13,'Invoice Register'!$K$6:$K$405,"Paid")+SUMIFS('Invoice Register'!$G$6:$G$405,'Invoice Register'!$B$6:$B$405,B13,'Invoice Register'!$K$6:$K$405,"Approved")+SUMIFS('Site Diary'!$I$6:$I$505,'Site Diary'!$H$6:$H$505,B13)</f>
        <v>0</v>
      </c>
      <c r="J13" s="46" t="n">
        <f aca="false">IF(H13=0,I13,MAX(H13,I13))</f>
        <v>0</v>
      </c>
      <c r="K13" s="46" t="n">
        <f aca="false">G13-J13</f>
        <v>0</v>
      </c>
      <c r="L13" s="43" t="n">
        <f aca="false">G13-I13</f>
        <v>0</v>
      </c>
      <c r="M13" s="4"/>
    </row>
    <row r="14" customFormat="false" ht="16.5" hidden="false" customHeight="true" outlineLevel="0" collapsed="false">
      <c r="B14" s="32" t="s">
        <v>76</v>
      </c>
      <c r="C14" s="33" t="s">
        <v>491</v>
      </c>
      <c r="D14" s="43" t="n">
        <f aca="false">SUMIFS('BOQ Detail'!H7:H446,'BOQ Detail'!B7:B446,B14)</f>
        <v>0</v>
      </c>
      <c r="E14" s="20" t="n">
        <f aca="false">COUNTIFS('Variation Register'!$B$6:$B$205,B14,'Variation Register'!$F$6:$F$205,"Approved")</f>
        <v>0</v>
      </c>
      <c r="F14" s="43" t="n">
        <f aca="false">SUMIFS('Variation Register'!$E$6:$E$205,'Variation Register'!$B$6:$B$205,B14,'Variation Register'!$F$6:$F$205,"Approved")</f>
        <v>0</v>
      </c>
      <c r="G14" s="44" t="n">
        <f aca="false">D14+F14</f>
        <v>0</v>
      </c>
      <c r="H14" s="43" t="n">
        <f aca="false">SUMIFS('PO Register'!$F$6:$F$205,'PO Register'!$B$6:$B$205,B14)</f>
        <v>0</v>
      </c>
      <c r="I14" s="43" t="n">
        <f aca="false">SUMIFS('Invoice Register'!$G$6:$G$405,'Invoice Register'!$B$6:$B$405,B14,'Invoice Register'!$K$6:$K$405,"Paid")+SUMIFS('Invoice Register'!$G$6:$G$405,'Invoice Register'!$B$6:$B$405,B14,'Invoice Register'!$K$6:$K$405,"Approved")+SUMIFS('Site Diary'!$I$6:$I$505,'Site Diary'!$H$6:$H$505,B14)</f>
        <v>0</v>
      </c>
      <c r="J14" s="43" t="n">
        <f aca="false">IF(H14=0,I14,MAX(H14,I14))</f>
        <v>0</v>
      </c>
      <c r="K14" s="43" t="n">
        <f aca="false">G14-J14</f>
        <v>0</v>
      </c>
      <c r="L14" s="45" t="n">
        <f aca="false">G14-I14</f>
        <v>0</v>
      </c>
      <c r="M14" s="33"/>
    </row>
    <row r="15" customFormat="false" ht="16.5" hidden="false" customHeight="true" outlineLevel="0" collapsed="false">
      <c r="B15" s="36" t="s">
        <v>86</v>
      </c>
      <c r="C15" s="4" t="s">
        <v>492</v>
      </c>
      <c r="D15" s="46" t="n">
        <f aca="false">SUMIFS('BOQ Detail'!H7:H446,'BOQ Detail'!B7:B446,B15)</f>
        <v>0</v>
      </c>
      <c r="E15" s="25" t="n">
        <f aca="false">COUNTIFS('Variation Register'!$B$6:$B$205,B15,'Variation Register'!$F$6:$F$205,"Approved")</f>
        <v>0</v>
      </c>
      <c r="F15" s="46" t="n">
        <f aca="false">SUMIFS('Variation Register'!$E$6:$E$205,'Variation Register'!$B$6:$B$205,B15,'Variation Register'!$F$6:$F$205,"Approved")</f>
        <v>0</v>
      </c>
      <c r="G15" s="44" t="n">
        <f aca="false">D15+F15</f>
        <v>0</v>
      </c>
      <c r="H15" s="46" t="n">
        <f aca="false">SUMIFS('PO Register'!$F$6:$F$205,'PO Register'!$B$6:$B$205,B15)</f>
        <v>0</v>
      </c>
      <c r="I15" s="46" t="n">
        <f aca="false">SUMIFS('Invoice Register'!$G$6:$G$405,'Invoice Register'!$B$6:$B$405,B15,'Invoice Register'!$K$6:$K$405,"Paid")+SUMIFS('Invoice Register'!$G$6:$G$405,'Invoice Register'!$B$6:$B$405,B15,'Invoice Register'!$K$6:$K$405,"Approved")+SUMIFS('Site Diary'!$I$6:$I$505,'Site Diary'!$H$6:$H$505,B15)</f>
        <v>0</v>
      </c>
      <c r="J15" s="46" t="n">
        <f aca="false">IF(H15=0,I15,MAX(H15,I15))</f>
        <v>0</v>
      </c>
      <c r="K15" s="46" t="n">
        <f aca="false">G15-J15</f>
        <v>0</v>
      </c>
      <c r="L15" s="43" t="n">
        <f aca="false">G15-I15</f>
        <v>0</v>
      </c>
      <c r="M15" s="4"/>
    </row>
    <row r="16" customFormat="false" ht="16.5" hidden="false" customHeight="true" outlineLevel="0" collapsed="false">
      <c r="B16" s="32" t="s">
        <v>96</v>
      </c>
      <c r="C16" s="33" t="s">
        <v>493</v>
      </c>
      <c r="D16" s="43" t="n">
        <f aca="false">SUMIFS('BOQ Detail'!H7:H446,'BOQ Detail'!B7:B446,B16)</f>
        <v>0</v>
      </c>
      <c r="E16" s="20" t="n">
        <f aca="false">COUNTIFS('Variation Register'!$B$6:$B$205,B16,'Variation Register'!$F$6:$F$205,"Approved")</f>
        <v>0</v>
      </c>
      <c r="F16" s="43" t="n">
        <f aca="false">SUMIFS('Variation Register'!$E$6:$E$205,'Variation Register'!$B$6:$B$205,B16,'Variation Register'!$F$6:$F$205,"Approved")</f>
        <v>0</v>
      </c>
      <c r="G16" s="44" t="n">
        <f aca="false">D16+F16</f>
        <v>0</v>
      </c>
      <c r="H16" s="43" t="n">
        <f aca="false">SUMIFS('PO Register'!$F$6:$F$205,'PO Register'!$B$6:$B$205,B16)</f>
        <v>0</v>
      </c>
      <c r="I16" s="43" t="n">
        <f aca="false">SUMIFS('Invoice Register'!$G$6:$G$405,'Invoice Register'!$B$6:$B$405,B16,'Invoice Register'!$K$6:$K$405,"Paid")+SUMIFS('Invoice Register'!$G$6:$G$405,'Invoice Register'!$B$6:$B$405,B16,'Invoice Register'!$K$6:$K$405,"Approved")+SUMIFS('Site Diary'!$I$6:$I$505,'Site Diary'!$H$6:$H$505,B16)</f>
        <v>0</v>
      </c>
      <c r="J16" s="43" t="n">
        <f aca="false">IF(H16=0,I16,MAX(H16,I16))</f>
        <v>0</v>
      </c>
      <c r="K16" s="43" t="n">
        <f aca="false">G16-J16</f>
        <v>0</v>
      </c>
      <c r="L16" s="45" t="n">
        <f aca="false">G16-I16</f>
        <v>0</v>
      </c>
      <c r="M16" s="33"/>
    </row>
    <row r="17" customFormat="false" ht="16.5" hidden="false" customHeight="true" outlineLevel="0" collapsed="false">
      <c r="B17" s="36" t="s">
        <v>106</v>
      </c>
      <c r="C17" s="4" t="s">
        <v>494</v>
      </c>
      <c r="D17" s="46" t="n">
        <f aca="false">SUMIFS('BOQ Detail'!H7:H446,'BOQ Detail'!B7:B446,B17)</f>
        <v>0</v>
      </c>
      <c r="E17" s="25" t="n">
        <f aca="false">COUNTIFS('Variation Register'!$B$6:$B$205,B17,'Variation Register'!$F$6:$F$205,"Approved")</f>
        <v>0</v>
      </c>
      <c r="F17" s="46" t="n">
        <f aca="false">SUMIFS('Variation Register'!$E$6:$E$205,'Variation Register'!$B$6:$B$205,B17,'Variation Register'!$F$6:$F$205,"Approved")</f>
        <v>0</v>
      </c>
      <c r="G17" s="44" t="n">
        <f aca="false">D17+F17</f>
        <v>0</v>
      </c>
      <c r="H17" s="46" t="n">
        <f aca="false">SUMIFS('PO Register'!$F$6:$F$205,'PO Register'!$B$6:$B$205,B17)</f>
        <v>0</v>
      </c>
      <c r="I17" s="46" t="n">
        <f aca="false">SUMIFS('Invoice Register'!$G$6:$G$405,'Invoice Register'!$B$6:$B$405,B17,'Invoice Register'!$K$6:$K$405,"Paid")+SUMIFS('Invoice Register'!$G$6:$G$405,'Invoice Register'!$B$6:$B$405,B17,'Invoice Register'!$K$6:$K$405,"Approved")+SUMIFS('Site Diary'!$I$6:$I$505,'Site Diary'!$H$6:$H$505,B17)</f>
        <v>0</v>
      </c>
      <c r="J17" s="46" t="n">
        <f aca="false">IF(H17=0,I17,MAX(H17,I17))</f>
        <v>0</v>
      </c>
      <c r="K17" s="46" t="n">
        <f aca="false">G17-J17</f>
        <v>0</v>
      </c>
      <c r="L17" s="43" t="n">
        <f aca="false">G17-I17</f>
        <v>0</v>
      </c>
      <c r="M17" s="4"/>
    </row>
    <row r="18" customFormat="false" ht="16.5" hidden="false" customHeight="true" outlineLevel="0" collapsed="false">
      <c r="B18" s="32" t="s">
        <v>116</v>
      </c>
      <c r="C18" s="33" t="s">
        <v>495</v>
      </c>
      <c r="D18" s="43" t="n">
        <f aca="false">SUMIFS('BOQ Detail'!H7:H446,'BOQ Detail'!B7:B446,B18)</f>
        <v>0</v>
      </c>
      <c r="E18" s="20" t="n">
        <f aca="false">COUNTIFS('Variation Register'!$B$6:$B$205,B18,'Variation Register'!$F$6:$F$205,"Approved")</f>
        <v>0</v>
      </c>
      <c r="F18" s="43" t="n">
        <f aca="false">SUMIFS('Variation Register'!$E$6:$E$205,'Variation Register'!$B$6:$B$205,B18,'Variation Register'!$F$6:$F$205,"Approved")</f>
        <v>0</v>
      </c>
      <c r="G18" s="44" t="n">
        <f aca="false">D18+F18</f>
        <v>0</v>
      </c>
      <c r="H18" s="43" t="n">
        <f aca="false">SUMIFS('PO Register'!$F$6:$F$205,'PO Register'!$B$6:$B$205,B18)</f>
        <v>0</v>
      </c>
      <c r="I18" s="43" t="n">
        <f aca="false">SUMIFS('Invoice Register'!$G$6:$G$405,'Invoice Register'!$B$6:$B$405,B18,'Invoice Register'!$K$6:$K$405,"Paid")+SUMIFS('Invoice Register'!$G$6:$G$405,'Invoice Register'!$B$6:$B$405,B18,'Invoice Register'!$K$6:$K$405,"Approved")+SUMIFS('Site Diary'!$I$6:$I$505,'Site Diary'!$H$6:$H$505,B18)</f>
        <v>0</v>
      </c>
      <c r="J18" s="43" t="n">
        <f aca="false">IF(H18=0,I18,MAX(H18,I18))</f>
        <v>0</v>
      </c>
      <c r="K18" s="43" t="n">
        <f aca="false">G18-J18</f>
        <v>0</v>
      </c>
      <c r="L18" s="45" t="n">
        <f aca="false">G18-I18</f>
        <v>0</v>
      </c>
      <c r="M18" s="33"/>
    </row>
    <row r="19" customFormat="false" ht="16.5" hidden="false" customHeight="true" outlineLevel="0" collapsed="false">
      <c r="B19" s="36" t="s">
        <v>126</v>
      </c>
      <c r="C19" s="4" t="s">
        <v>496</v>
      </c>
      <c r="D19" s="46" t="n">
        <f aca="false">SUMIFS('BOQ Detail'!H7:H446,'BOQ Detail'!B7:B446,B19)</f>
        <v>0</v>
      </c>
      <c r="E19" s="25" t="n">
        <f aca="false">COUNTIFS('Variation Register'!$B$6:$B$205,B19,'Variation Register'!$F$6:$F$205,"Approved")</f>
        <v>0</v>
      </c>
      <c r="F19" s="46" t="n">
        <f aca="false">SUMIFS('Variation Register'!$E$6:$E$205,'Variation Register'!$B$6:$B$205,B19,'Variation Register'!$F$6:$F$205,"Approved")</f>
        <v>0</v>
      </c>
      <c r="G19" s="44" t="n">
        <f aca="false">D19+F19</f>
        <v>0</v>
      </c>
      <c r="H19" s="46" t="n">
        <f aca="false">SUMIFS('PO Register'!$F$6:$F$205,'PO Register'!$B$6:$B$205,B19)</f>
        <v>0</v>
      </c>
      <c r="I19" s="46" t="n">
        <f aca="false">SUMIFS('Invoice Register'!$G$6:$G$405,'Invoice Register'!$B$6:$B$405,B19,'Invoice Register'!$K$6:$K$405,"Paid")+SUMIFS('Invoice Register'!$G$6:$G$405,'Invoice Register'!$B$6:$B$405,B19,'Invoice Register'!$K$6:$K$405,"Approved")+SUMIFS('Site Diary'!$I$6:$I$505,'Site Diary'!$H$6:$H$505,B19)</f>
        <v>0</v>
      </c>
      <c r="J19" s="46" t="n">
        <f aca="false">IF(H19=0,I19,MAX(H19,I19))</f>
        <v>0</v>
      </c>
      <c r="K19" s="46" t="n">
        <f aca="false">G19-J19</f>
        <v>0</v>
      </c>
      <c r="L19" s="43" t="n">
        <f aca="false">G19-I19</f>
        <v>0</v>
      </c>
      <c r="M19" s="4"/>
    </row>
    <row r="20" customFormat="false" ht="16.5" hidden="false" customHeight="true" outlineLevel="0" collapsed="false">
      <c r="B20" s="32" t="s">
        <v>136</v>
      </c>
      <c r="C20" s="33" t="s">
        <v>497</v>
      </c>
      <c r="D20" s="43" t="n">
        <f aca="false">SUMIFS('BOQ Detail'!H7:H446,'BOQ Detail'!B7:B446,B20)</f>
        <v>0</v>
      </c>
      <c r="E20" s="20" t="n">
        <f aca="false">COUNTIFS('Variation Register'!$B$6:$B$205,B20,'Variation Register'!$F$6:$F$205,"Approved")</f>
        <v>0</v>
      </c>
      <c r="F20" s="43" t="n">
        <f aca="false">SUMIFS('Variation Register'!$E$6:$E$205,'Variation Register'!$B$6:$B$205,B20,'Variation Register'!$F$6:$F$205,"Approved")</f>
        <v>0</v>
      </c>
      <c r="G20" s="44" t="n">
        <f aca="false">D20+F20</f>
        <v>0</v>
      </c>
      <c r="H20" s="43" t="n">
        <f aca="false">SUMIFS('PO Register'!$F$6:$F$205,'PO Register'!$B$6:$B$205,B20)</f>
        <v>0</v>
      </c>
      <c r="I20" s="43" t="n">
        <f aca="false">SUMIFS('Invoice Register'!$G$6:$G$405,'Invoice Register'!$B$6:$B$405,B20,'Invoice Register'!$K$6:$K$405,"Paid")+SUMIFS('Invoice Register'!$G$6:$G$405,'Invoice Register'!$B$6:$B$405,B20,'Invoice Register'!$K$6:$K$405,"Approved")+SUMIFS('Site Diary'!$I$6:$I$505,'Site Diary'!$H$6:$H$505,B20)</f>
        <v>0</v>
      </c>
      <c r="J20" s="43" t="n">
        <f aca="false">IF(H20=0,I20,MAX(H20,I20))</f>
        <v>0</v>
      </c>
      <c r="K20" s="43" t="n">
        <f aca="false">G20-J20</f>
        <v>0</v>
      </c>
      <c r="L20" s="45" t="n">
        <f aca="false">G20-I20</f>
        <v>0</v>
      </c>
      <c r="M20" s="33"/>
    </row>
    <row r="21" customFormat="false" ht="16.5" hidden="false" customHeight="true" outlineLevel="0" collapsed="false">
      <c r="B21" s="36" t="s">
        <v>146</v>
      </c>
      <c r="C21" s="4" t="s">
        <v>498</v>
      </c>
      <c r="D21" s="46" t="n">
        <f aca="false">SUMIFS('BOQ Detail'!H7:H446,'BOQ Detail'!B7:B446,B21)</f>
        <v>0</v>
      </c>
      <c r="E21" s="25" t="n">
        <f aca="false">COUNTIFS('Variation Register'!$B$6:$B$205,B21,'Variation Register'!$F$6:$F$205,"Approved")</f>
        <v>0</v>
      </c>
      <c r="F21" s="46" t="n">
        <f aca="false">SUMIFS('Variation Register'!$E$6:$E$205,'Variation Register'!$B$6:$B$205,B21,'Variation Register'!$F$6:$F$205,"Approved")</f>
        <v>0</v>
      </c>
      <c r="G21" s="44" t="n">
        <f aca="false">D21+F21</f>
        <v>0</v>
      </c>
      <c r="H21" s="46" t="n">
        <f aca="false">SUMIFS('PO Register'!$F$6:$F$205,'PO Register'!$B$6:$B$205,B21)</f>
        <v>0</v>
      </c>
      <c r="I21" s="46" t="n">
        <f aca="false">SUMIFS('Invoice Register'!$G$6:$G$405,'Invoice Register'!$B$6:$B$405,B21,'Invoice Register'!$K$6:$K$405,"Paid")+SUMIFS('Invoice Register'!$G$6:$G$405,'Invoice Register'!$B$6:$B$405,B21,'Invoice Register'!$K$6:$K$405,"Approved")+SUMIFS('Site Diary'!$I$6:$I$505,'Site Diary'!$H$6:$H$505,B21)</f>
        <v>0</v>
      </c>
      <c r="J21" s="46" t="n">
        <f aca="false">IF(H21=0,I21,MAX(H21,I21))</f>
        <v>0</v>
      </c>
      <c r="K21" s="46" t="n">
        <f aca="false">G21-J21</f>
        <v>0</v>
      </c>
      <c r="L21" s="43" t="n">
        <f aca="false">G21-I21</f>
        <v>0</v>
      </c>
      <c r="M21" s="4"/>
    </row>
    <row r="22" customFormat="false" ht="16.5" hidden="false" customHeight="true" outlineLevel="0" collapsed="false">
      <c r="B22" s="32" t="s">
        <v>156</v>
      </c>
      <c r="C22" s="33" t="s">
        <v>499</v>
      </c>
      <c r="D22" s="43" t="n">
        <f aca="false">SUMIFS('BOQ Detail'!H7:H446,'BOQ Detail'!B7:B446,B22)</f>
        <v>0</v>
      </c>
      <c r="E22" s="20" t="n">
        <f aca="false">COUNTIFS('Variation Register'!$B$6:$B$205,B22,'Variation Register'!$F$6:$F$205,"Approved")</f>
        <v>0</v>
      </c>
      <c r="F22" s="43" t="n">
        <f aca="false">SUMIFS('Variation Register'!$E$6:$E$205,'Variation Register'!$B$6:$B$205,B22,'Variation Register'!$F$6:$F$205,"Approved")</f>
        <v>0</v>
      </c>
      <c r="G22" s="44" t="n">
        <f aca="false">D22+F22</f>
        <v>0</v>
      </c>
      <c r="H22" s="43" t="n">
        <f aca="false">SUMIFS('PO Register'!$F$6:$F$205,'PO Register'!$B$6:$B$205,B22)</f>
        <v>0</v>
      </c>
      <c r="I22" s="43" t="n">
        <f aca="false">SUMIFS('Invoice Register'!$G$6:$G$405,'Invoice Register'!$B$6:$B$405,B22,'Invoice Register'!$K$6:$K$405,"Paid")+SUMIFS('Invoice Register'!$G$6:$G$405,'Invoice Register'!$B$6:$B$405,B22,'Invoice Register'!$K$6:$K$405,"Approved")+SUMIFS('Site Diary'!$I$6:$I$505,'Site Diary'!$H$6:$H$505,B22)</f>
        <v>0</v>
      </c>
      <c r="J22" s="43" t="n">
        <f aca="false">IF(H22=0,I22,MAX(H22,I22))</f>
        <v>0</v>
      </c>
      <c r="K22" s="43" t="n">
        <f aca="false">G22-J22</f>
        <v>0</v>
      </c>
      <c r="L22" s="45" t="n">
        <f aca="false">G22-I22</f>
        <v>0</v>
      </c>
      <c r="M22" s="33"/>
    </row>
    <row r="23" customFormat="false" ht="16.5" hidden="false" customHeight="true" outlineLevel="0" collapsed="false">
      <c r="B23" s="36" t="s">
        <v>166</v>
      </c>
      <c r="C23" s="4" t="s">
        <v>500</v>
      </c>
      <c r="D23" s="46" t="n">
        <f aca="false">SUMIFS('BOQ Detail'!H7:H446,'BOQ Detail'!B7:B446,B23)</f>
        <v>0</v>
      </c>
      <c r="E23" s="25" t="n">
        <f aca="false">COUNTIFS('Variation Register'!$B$6:$B$205,B23,'Variation Register'!$F$6:$F$205,"Approved")</f>
        <v>0</v>
      </c>
      <c r="F23" s="46" t="n">
        <f aca="false">SUMIFS('Variation Register'!$E$6:$E$205,'Variation Register'!$B$6:$B$205,B23,'Variation Register'!$F$6:$F$205,"Approved")</f>
        <v>0</v>
      </c>
      <c r="G23" s="44" t="n">
        <f aca="false">D23+F23</f>
        <v>0</v>
      </c>
      <c r="H23" s="46" t="n">
        <f aca="false">SUMIFS('PO Register'!$F$6:$F$205,'PO Register'!$B$6:$B$205,B23)</f>
        <v>0</v>
      </c>
      <c r="I23" s="46" t="n">
        <f aca="false">SUMIFS('Invoice Register'!$G$6:$G$405,'Invoice Register'!$B$6:$B$405,B23,'Invoice Register'!$K$6:$K$405,"Paid")+SUMIFS('Invoice Register'!$G$6:$G$405,'Invoice Register'!$B$6:$B$405,B23,'Invoice Register'!$K$6:$K$405,"Approved")+SUMIFS('Site Diary'!$I$6:$I$505,'Site Diary'!$H$6:$H$505,B23)</f>
        <v>0</v>
      </c>
      <c r="J23" s="46" t="n">
        <f aca="false">IF(H23=0,I23,MAX(H23,I23))</f>
        <v>0</v>
      </c>
      <c r="K23" s="46" t="n">
        <f aca="false">G23-J23</f>
        <v>0</v>
      </c>
      <c r="L23" s="43" t="n">
        <f aca="false">G23-I23</f>
        <v>0</v>
      </c>
      <c r="M23" s="4"/>
    </row>
    <row r="24" customFormat="false" ht="16.5" hidden="false" customHeight="true" outlineLevel="0" collapsed="false">
      <c r="B24" s="32" t="s">
        <v>176</v>
      </c>
      <c r="C24" s="33" t="s">
        <v>501</v>
      </c>
      <c r="D24" s="43" t="n">
        <f aca="false">SUMIFS('BOQ Detail'!H7:H446,'BOQ Detail'!B7:B446,B24)</f>
        <v>0</v>
      </c>
      <c r="E24" s="20" t="n">
        <f aca="false">COUNTIFS('Variation Register'!$B$6:$B$205,B24,'Variation Register'!$F$6:$F$205,"Approved")</f>
        <v>0</v>
      </c>
      <c r="F24" s="43" t="n">
        <f aca="false">SUMIFS('Variation Register'!$E$6:$E$205,'Variation Register'!$B$6:$B$205,B24,'Variation Register'!$F$6:$F$205,"Approved")</f>
        <v>0</v>
      </c>
      <c r="G24" s="44" t="n">
        <f aca="false">D24+F24</f>
        <v>0</v>
      </c>
      <c r="H24" s="43" t="n">
        <f aca="false">SUMIFS('PO Register'!$F$6:$F$205,'PO Register'!$B$6:$B$205,B24)</f>
        <v>0</v>
      </c>
      <c r="I24" s="43" t="n">
        <f aca="false">SUMIFS('Invoice Register'!$G$6:$G$405,'Invoice Register'!$B$6:$B$405,B24,'Invoice Register'!$K$6:$K$405,"Paid")+SUMIFS('Invoice Register'!$G$6:$G$405,'Invoice Register'!$B$6:$B$405,B24,'Invoice Register'!$K$6:$K$405,"Approved")+SUMIFS('Site Diary'!$I$6:$I$505,'Site Diary'!$H$6:$H$505,B24)</f>
        <v>0</v>
      </c>
      <c r="J24" s="43" t="n">
        <f aca="false">IF(H24=0,I24,MAX(H24,I24))</f>
        <v>0</v>
      </c>
      <c r="K24" s="43" t="n">
        <f aca="false">G24-J24</f>
        <v>0</v>
      </c>
      <c r="L24" s="45" t="n">
        <f aca="false">G24-I24</f>
        <v>0</v>
      </c>
      <c r="M24" s="33"/>
    </row>
    <row r="25" customFormat="false" ht="16.5" hidden="false" customHeight="true" outlineLevel="0" collapsed="false">
      <c r="B25" s="36" t="s">
        <v>186</v>
      </c>
      <c r="C25" s="4" t="s">
        <v>502</v>
      </c>
      <c r="D25" s="46" t="n">
        <f aca="false">SUMIFS('BOQ Detail'!H7:H446,'BOQ Detail'!B7:B446,B25)</f>
        <v>0</v>
      </c>
      <c r="E25" s="25" t="n">
        <f aca="false">COUNTIFS('Variation Register'!$B$6:$B$205,B25,'Variation Register'!$F$6:$F$205,"Approved")</f>
        <v>0</v>
      </c>
      <c r="F25" s="46" t="n">
        <f aca="false">SUMIFS('Variation Register'!$E$6:$E$205,'Variation Register'!$B$6:$B$205,B25,'Variation Register'!$F$6:$F$205,"Approved")</f>
        <v>0</v>
      </c>
      <c r="G25" s="44" t="n">
        <f aca="false">D25+F25</f>
        <v>0</v>
      </c>
      <c r="H25" s="46" t="n">
        <f aca="false">SUMIFS('PO Register'!$F$6:$F$205,'PO Register'!$B$6:$B$205,B25)</f>
        <v>0</v>
      </c>
      <c r="I25" s="46" t="n">
        <f aca="false">SUMIFS('Invoice Register'!$G$6:$G$405,'Invoice Register'!$B$6:$B$405,B25,'Invoice Register'!$K$6:$K$405,"Paid")+SUMIFS('Invoice Register'!$G$6:$G$405,'Invoice Register'!$B$6:$B$405,B25,'Invoice Register'!$K$6:$K$405,"Approved")+SUMIFS('Site Diary'!$I$6:$I$505,'Site Diary'!$H$6:$H$505,B25)</f>
        <v>0</v>
      </c>
      <c r="J25" s="46" t="n">
        <f aca="false">IF(H25=0,I25,MAX(H25,I25))</f>
        <v>0</v>
      </c>
      <c r="K25" s="46" t="n">
        <f aca="false">G25-J25</f>
        <v>0</v>
      </c>
      <c r="L25" s="43" t="n">
        <f aca="false">G25-I25</f>
        <v>0</v>
      </c>
      <c r="M25" s="4"/>
    </row>
    <row r="26" customFormat="false" ht="16.5" hidden="false" customHeight="true" outlineLevel="0" collapsed="false">
      <c r="B26" s="32" t="s">
        <v>196</v>
      </c>
      <c r="C26" s="33" t="s">
        <v>503</v>
      </c>
      <c r="D26" s="43" t="n">
        <f aca="false">SUMIFS('BOQ Detail'!H7:H446,'BOQ Detail'!B7:B446,B26)</f>
        <v>0</v>
      </c>
      <c r="E26" s="20" t="n">
        <f aca="false">COUNTIFS('Variation Register'!$B$6:$B$205,B26,'Variation Register'!$F$6:$F$205,"Approved")</f>
        <v>0</v>
      </c>
      <c r="F26" s="43" t="n">
        <f aca="false">SUMIFS('Variation Register'!$E$6:$E$205,'Variation Register'!$B$6:$B$205,B26,'Variation Register'!$F$6:$F$205,"Approved")</f>
        <v>0</v>
      </c>
      <c r="G26" s="44" t="n">
        <f aca="false">D26+F26</f>
        <v>0</v>
      </c>
      <c r="H26" s="43" t="n">
        <f aca="false">SUMIFS('PO Register'!$F$6:$F$205,'PO Register'!$B$6:$B$205,B26)</f>
        <v>0</v>
      </c>
      <c r="I26" s="43" t="n">
        <f aca="false">SUMIFS('Invoice Register'!$G$6:$G$405,'Invoice Register'!$B$6:$B$405,B26,'Invoice Register'!$K$6:$K$405,"Paid")+SUMIFS('Invoice Register'!$G$6:$G$405,'Invoice Register'!$B$6:$B$405,B26,'Invoice Register'!$K$6:$K$405,"Approved")+SUMIFS('Site Diary'!$I$6:$I$505,'Site Diary'!$H$6:$H$505,B26)</f>
        <v>0</v>
      </c>
      <c r="J26" s="43" t="n">
        <f aca="false">IF(H26=0,I26,MAX(H26,I26))</f>
        <v>0</v>
      </c>
      <c r="K26" s="43" t="n">
        <f aca="false">G26-J26</f>
        <v>0</v>
      </c>
      <c r="L26" s="45" t="n">
        <f aca="false">G26-I26</f>
        <v>0</v>
      </c>
      <c r="M26" s="33"/>
    </row>
    <row r="27" customFormat="false" ht="16.5" hidden="false" customHeight="true" outlineLevel="0" collapsed="false">
      <c r="B27" s="36" t="s">
        <v>206</v>
      </c>
      <c r="C27" s="4" t="s">
        <v>504</v>
      </c>
      <c r="D27" s="46" t="n">
        <f aca="false">SUMIFS('BOQ Detail'!H7:H446,'BOQ Detail'!B7:B446,B27)</f>
        <v>0</v>
      </c>
      <c r="E27" s="25" t="n">
        <f aca="false">COUNTIFS('Variation Register'!$B$6:$B$205,B27,'Variation Register'!$F$6:$F$205,"Approved")</f>
        <v>0</v>
      </c>
      <c r="F27" s="46" t="n">
        <f aca="false">SUMIFS('Variation Register'!$E$6:$E$205,'Variation Register'!$B$6:$B$205,B27,'Variation Register'!$F$6:$F$205,"Approved")</f>
        <v>0</v>
      </c>
      <c r="G27" s="44" t="n">
        <f aca="false">D27+F27</f>
        <v>0</v>
      </c>
      <c r="H27" s="46" t="n">
        <f aca="false">SUMIFS('PO Register'!$F$6:$F$205,'PO Register'!$B$6:$B$205,B27)</f>
        <v>0</v>
      </c>
      <c r="I27" s="46" t="n">
        <f aca="false">SUMIFS('Invoice Register'!$G$6:$G$405,'Invoice Register'!$B$6:$B$405,B27,'Invoice Register'!$K$6:$K$405,"Paid")+SUMIFS('Invoice Register'!$G$6:$G$405,'Invoice Register'!$B$6:$B$405,B27,'Invoice Register'!$K$6:$K$405,"Approved")+SUMIFS('Site Diary'!$I$6:$I$505,'Site Diary'!$H$6:$H$505,B27)</f>
        <v>0</v>
      </c>
      <c r="J27" s="46" t="n">
        <f aca="false">IF(H27=0,I27,MAX(H27,I27))</f>
        <v>0</v>
      </c>
      <c r="K27" s="46" t="n">
        <f aca="false">G27-J27</f>
        <v>0</v>
      </c>
      <c r="L27" s="43" t="n">
        <f aca="false">G27-I27</f>
        <v>0</v>
      </c>
      <c r="M27" s="4"/>
    </row>
    <row r="28" customFormat="false" ht="16.5" hidden="false" customHeight="true" outlineLevel="0" collapsed="false">
      <c r="B28" s="32" t="s">
        <v>216</v>
      </c>
      <c r="C28" s="33" t="s">
        <v>505</v>
      </c>
      <c r="D28" s="43" t="n">
        <f aca="false">SUMIFS('BOQ Detail'!H7:H446,'BOQ Detail'!B7:B446,B28)</f>
        <v>0</v>
      </c>
      <c r="E28" s="20" t="n">
        <f aca="false">COUNTIFS('Variation Register'!$B$6:$B$205,B28,'Variation Register'!$F$6:$F$205,"Approved")</f>
        <v>0</v>
      </c>
      <c r="F28" s="43" t="n">
        <f aca="false">SUMIFS('Variation Register'!$E$6:$E$205,'Variation Register'!$B$6:$B$205,B28,'Variation Register'!$F$6:$F$205,"Approved")</f>
        <v>0</v>
      </c>
      <c r="G28" s="44" t="n">
        <f aca="false">D28+F28</f>
        <v>0</v>
      </c>
      <c r="H28" s="43" t="n">
        <f aca="false">SUMIFS('PO Register'!$F$6:$F$205,'PO Register'!$B$6:$B$205,B28)</f>
        <v>0</v>
      </c>
      <c r="I28" s="43" t="n">
        <f aca="false">SUMIFS('Invoice Register'!$G$6:$G$405,'Invoice Register'!$B$6:$B$405,B28,'Invoice Register'!$K$6:$K$405,"Paid")+SUMIFS('Invoice Register'!$G$6:$G$405,'Invoice Register'!$B$6:$B$405,B28,'Invoice Register'!$K$6:$K$405,"Approved")+SUMIFS('Site Diary'!$I$6:$I$505,'Site Diary'!$H$6:$H$505,B28)</f>
        <v>0</v>
      </c>
      <c r="J28" s="43" t="n">
        <f aca="false">IF(H28=0,I28,MAX(H28,I28))</f>
        <v>0</v>
      </c>
      <c r="K28" s="43" t="n">
        <f aca="false">G28-J28</f>
        <v>0</v>
      </c>
      <c r="L28" s="45" t="n">
        <f aca="false">G28-I28</f>
        <v>0</v>
      </c>
      <c r="M28" s="33"/>
    </row>
    <row r="29" customFormat="false" ht="16.5" hidden="false" customHeight="true" outlineLevel="0" collapsed="false">
      <c r="B29" s="36" t="s">
        <v>226</v>
      </c>
      <c r="C29" s="4" t="s">
        <v>506</v>
      </c>
      <c r="D29" s="46" t="n">
        <f aca="false">SUMIFS('BOQ Detail'!H7:H446,'BOQ Detail'!B7:B446,B29)</f>
        <v>0</v>
      </c>
      <c r="E29" s="25" t="n">
        <f aca="false">COUNTIFS('Variation Register'!$B$6:$B$205,B29,'Variation Register'!$F$6:$F$205,"Approved")</f>
        <v>0</v>
      </c>
      <c r="F29" s="46" t="n">
        <f aca="false">SUMIFS('Variation Register'!$E$6:$E$205,'Variation Register'!$B$6:$B$205,B29,'Variation Register'!$F$6:$F$205,"Approved")</f>
        <v>0</v>
      </c>
      <c r="G29" s="44" t="n">
        <f aca="false">D29+F29</f>
        <v>0</v>
      </c>
      <c r="H29" s="46" t="n">
        <f aca="false">SUMIFS('PO Register'!$F$6:$F$205,'PO Register'!$B$6:$B$205,B29)</f>
        <v>0</v>
      </c>
      <c r="I29" s="46" t="n">
        <f aca="false">SUMIFS('Invoice Register'!$G$6:$G$405,'Invoice Register'!$B$6:$B$405,B29,'Invoice Register'!$K$6:$K$405,"Paid")+SUMIFS('Invoice Register'!$G$6:$G$405,'Invoice Register'!$B$6:$B$405,B29,'Invoice Register'!$K$6:$K$405,"Approved")+SUMIFS('Site Diary'!$I$6:$I$505,'Site Diary'!$H$6:$H$505,B29)</f>
        <v>0</v>
      </c>
      <c r="J29" s="46" t="n">
        <f aca="false">IF(H29=0,I29,MAX(H29,I29))</f>
        <v>0</v>
      </c>
      <c r="K29" s="46" t="n">
        <f aca="false">G29-J29</f>
        <v>0</v>
      </c>
      <c r="L29" s="43" t="n">
        <f aca="false">G29-I29</f>
        <v>0</v>
      </c>
      <c r="M29" s="4"/>
    </row>
    <row r="30" customFormat="false" ht="16.5" hidden="false" customHeight="true" outlineLevel="0" collapsed="false">
      <c r="B30" s="32" t="s">
        <v>236</v>
      </c>
      <c r="C30" s="33" t="s">
        <v>507</v>
      </c>
      <c r="D30" s="43" t="n">
        <f aca="false">SUMIFS('BOQ Detail'!H7:H446,'BOQ Detail'!B7:B446,B30)</f>
        <v>0</v>
      </c>
      <c r="E30" s="20" t="n">
        <f aca="false">COUNTIFS('Variation Register'!$B$6:$B$205,B30,'Variation Register'!$F$6:$F$205,"Approved")</f>
        <v>0</v>
      </c>
      <c r="F30" s="43" t="n">
        <f aca="false">SUMIFS('Variation Register'!$E$6:$E$205,'Variation Register'!$B$6:$B$205,B30,'Variation Register'!$F$6:$F$205,"Approved")</f>
        <v>0</v>
      </c>
      <c r="G30" s="44" t="n">
        <f aca="false">D30+F30</f>
        <v>0</v>
      </c>
      <c r="H30" s="43" t="n">
        <f aca="false">SUMIFS('PO Register'!$F$6:$F$205,'PO Register'!$B$6:$B$205,B30)</f>
        <v>0</v>
      </c>
      <c r="I30" s="43" t="n">
        <f aca="false">SUMIFS('Invoice Register'!$G$6:$G$405,'Invoice Register'!$B$6:$B$405,B30,'Invoice Register'!$K$6:$K$405,"Paid")+SUMIFS('Invoice Register'!$G$6:$G$405,'Invoice Register'!$B$6:$B$405,B30,'Invoice Register'!$K$6:$K$405,"Approved")+SUMIFS('Site Diary'!$I$6:$I$505,'Site Diary'!$H$6:$H$505,B30)</f>
        <v>0</v>
      </c>
      <c r="J30" s="43" t="n">
        <f aca="false">IF(H30=0,I30,MAX(H30,I30))</f>
        <v>0</v>
      </c>
      <c r="K30" s="43" t="n">
        <f aca="false">G30-J30</f>
        <v>0</v>
      </c>
      <c r="L30" s="45" t="n">
        <f aca="false">G30-I30</f>
        <v>0</v>
      </c>
      <c r="M30" s="33"/>
    </row>
    <row r="31" customFormat="false" ht="16.5" hidden="false" customHeight="true" outlineLevel="0" collapsed="false">
      <c r="B31" s="36" t="s">
        <v>246</v>
      </c>
      <c r="C31" s="4" t="s">
        <v>508</v>
      </c>
      <c r="D31" s="46" t="n">
        <f aca="false">SUMIFS('BOQ Detail'!H7:H446,'BOQ Detail'!B7:B446,B31)</f>
        <v>0</v>
      </c>
      <c r="E31" s="25" t="n">
        <f aca="false">COUNTIFS('Variation Register'!$B$6:$B$205,B31,'Variation Register'!$F$6:$F$205,"Approved")</f>
        <v>0</v>
      </c>
      <c r="F31" s="46" t="n">
        <f aca="false">SUMIFS('Variation Register'!$E$6:$E$205,'Variation Register'!$B$6:$B$205,B31,'Variation Register'!$F$6:$F$205,"Approved")</f>
        <v>0</v>
      </c>
      <c r="G31" s="44" t="n">
        <f aca="false">D31+F31</f>
        <v>0</v>
      </c>
      <c r="H31" s="46" t="n">
        <f aca="false">SUMIFS('PO Register'!$F$6:$F$205,'PO Register'!$B$6:$B$205,B31)</f>
        <v>0</v>
      </c>
      <c r="I31" s="46" t="n">
        <f aca="false">SUMIFS('Invoice Register'!$G$6:$G$405,'Invoice Register'!$B$6:$B$405,B31,'Invoice Register'!$K$6:$K$405,"Paid")+SUMIFS('Invoice Register'!$G$6:$G$405,'Invoice Register'!$B$6:$B$405,B31,'Invoice Register'!$K$6:$K$405,"Approved")+SUMIFS('Site Diary'!$I$6:$I$505,'Site Diary'!$H$6:$H$505,B31)</f>
        <v>0</v>
      </c>
      <c r="J31" s="46" t="n">
        <f aca="false">IF(H31=0,I31,MAX(H31,I31))</f>
        <v>0</v>
      </c>
      <c r="K31" s="46" t="n">
        <f aca="false">G31-J31</f>
        <v>0</v>
      </c>
      <c r="L31" s="43" t="n">
        <f aca="false">G31-I31</f>
        <v>0</v>
      </c>
      <c r="M31" s="4"/>
    </row>
    <row r="32" customFormat="false" ht="16.5" hidden="false" customHeight="true" outlineLevel="0" collapsed="false">
      <c r="B32" s="32" t="s">
        <v>256</v>
      </c>
      <c r="C32" s="33" t="s">
        <v>509</v>
      </c>
      <c r="D32" s="43" t="n">
        <f aca="false">SUMIFS('BOQ Detail'!H7:H446,'BOQ Detail'!B7:B446,B32)</f>
        <v>0</v>
      </c>
      <c r="E32" s="20" t="n">
        <f aca="false">COUNTIFS('Variation Register'!$B$6:$B$205,B32,'Variation Register'!$F$6:$F$205,"Approved")</f>
        <v>0</v>
      </c>
      <c r="F32" s="43" t="n">
        <f aca="false">SUMIFS('Variation Register'!$E$6:$E$205,'Variation Register'!$B$6:$B$205,B32,'Variation Register'!$F$6:$F$205,"Approved")</f>
        <v>0</v>
      </c>
      <c r="G32" s="44" t="n">
        <f aca="false">D32+F32</f>
        <v>0</v>
      </c>
      <c r="H32" s="43" t="n">
        <f aca="false">SUMIFS('PO Register'!$F$6:$F$205,'PO Register'!$B$6:$B$205,B32)</f>
        <v>0</v>
      </c>
      <c r="I32" s="43" t="n">
        <f aca="false">SUMIFS('Invoice Register'!$G$6:$G$405,'Invoice Register'!$B$6:$B$405,B32,'Invoice Register'!$K$6:$K$405,"Paid")+SUMIFS('Invoice Register'!$G$6:$G$405,'Invoice Register'!$B$6:$B$405,B32,'Invoice Register'!$K$6:$K$405,"Approved")+SUMIFS('Site Diary'!$I$6:$I$505,'Site Diary'!$H$6:$H$505,B32)</f>
        <v>0</v>
      </c>
      <c r="J32" s="43" t="n">
        <f aca="false">IF(H32=0,I32,MAX(H32,I32))</f>
        <v>0</v>
      </c>
      <c r="K32" s="43" t="n">
        <f aca="false">G32-J32</f>
        <v>0</v>
      </c>
      <c r="L32" s="45" t="n">
        <f aca="false">G32-I32</f>
        <v>0</v>
      </c>
      <c r="M32" s="33"/>
    </row>
    <row r="33" customFormat="false" ht="16.5" hidden="false" customHeight="true" outlineLevel="0" collapsed="false">
      <c r="B33" s="36" t="s">
        <v>266</v>
      </c>
      <c r="C33" s="4" t="s">
        <v>510</v>
      </c>
      <c r="D33" s="46" t="n">
        <f aca="false">SUMIFS('BOQ Detail'!H7:H446,'BOQ Detail'!B7:B446,B33)</f>
        <v>0</v>
      </c>
      <c r="E33" s="25" t="n">
        <f aca="false">COUNTIFS('Variation Register'!$B$6:$B$205,B33,'Variation Register'!$F$6:$F$205,"Approved")</f>
        <v>0</v>
      </c>
      <c r="F33" s="46" t="n">
        <f aca="false">SUMIFS('Variation Register'!$E$6:$E$205,'Variation Register'!$B$6:$B$205,B33,'Variation Register'!$F$6:$F$205,"Approved")</f>
        <v>0</v>
      </c>
      <c r="G33" s="44" t="n">
        <f aca="false">D33+F33</f>
        <v>0</v>
      </c>
      <c r="H33" s="46" t="n">
        <f aca="false">SUMIFS('PO Register'!$F$6:$F$205,'PO Register'!$B$6:$B$205,B33)</f>
        <v>0</v>
      </c>
      <c r="I33" s="46" t="n">
        <f aca="false">SUMIFS('Invoice Register'!$G$6:$G$405,'Invoice Register'!$B$6:$B$405,B33,'Invoice Register'!$K$6:$K$405,"Paid")+SUMIFS('Invoice Register'!$G$6:$G$405,'Invoice Register'!$B$6:$B$405,B33,'Invoice Register'!$K$6:$K$405,"Approved")+SUMIFS('Site Diary'!$I$6:$I$505,'Site Diary'!$H$6:$H$505,B33)</f>
        <v>0</v>
      </c>
      <c r="J33" s="46" t="n">
        <f aca="false">IF(H33=0,I33,MAX(H33,I33))</f>
        <v>0</v>
      </c>
      <c r="K33" s="46" t="n">
        <f aca="false">G33-J33</f>
        <v>0</v>
      </c>
      <c r="L33" s="43" t="n">
        <f aca="false">G33-I33</f>
        <v>0</v>
      </c>
      <c r="M33" s="4"/>
    </row>
    <row r="34" customFormat="false" ht="16.5" hidden="false" customHeight="true" outlineLevel="0" collapsed="false">
      <c r="B34" s="32" t="s">
        <v>276</v>
      </c>
      <c r="C34" s="33" t="s">
        <v>511</v>
      </c>
      <c r="D34" s="43" t="n">
        <f aca="false">SUMIFS('BOQ Detail'!H7:H446,'BOQ Detail'!B7:B446,B34)</f>
        <v>0</v>
      </c>
      <c r="E34" s="20" t="n">
        <f aca="false">COUNTIFS('Variation Register'!$B$6:$B$205,B34,'Variation Register'!$F$6:$F$205,"Approved")</f>
        <v>0</v>
      </c>
      <c r="F34" s="43" t="n">
        <f aca="false">SUMIFS('Variation Register'!$E$6:$E$205,'Variation Register'!$B$6:$B$205,B34,'Variation Register'!$F$6:$F$205,"Approved")</f>
        <v>0</v>
      </c>
      <c r="G34" s="44" t="n">
        <f aca="false">D34+F34</f>
        <v>0</v>
      </c>
      <c r="H34" s="43" t="n">
        <f aca="false">SUMIFS('PO Register'!$F$6:$F$205,'PO Register'!$B$6:$B$205,B34)</f>
        <v>0</v>
      </c>
      <c r="I34" s="43" t="n">
        <f aca="false">SUMIFS('Invoice Register'!$G$6:$G$405,'Invoice Register'!$B$6:$B$405,B34,'Invoice Register'!$K$6:$K$405,"Paid")+SUMIFS('Invoice Register'!$G$6:$G$405,'Invoice Register'!$B$6:$B$405,B34,'Invoice Register'!$K$6:$K$405,"Approved")+SUMIFS('Site Diary'!$I$6:$I$505,'Site Diary'!$H$6:$H$505,B34)</f>
        <v>0</v>
      </c>
      <c r="J34" s="43" t="n">
        <f aca="false">IF(H34=0,I34,MAX(H34,I34))</f>
        <v>0</v>
      </c>
      <c r="K34" s="43" t="n">
        <f aca="false">G34-J34</f>
        <v>0</v>
      </c>
      <c r="L34" s="45" t="n">
        <f aca="false">G34-I34</f>
        <v>0</v>
      </c>
      <c r="M34" s="33"/>
    </row>
    <row r="35" customFormat="false" ht="16.5" hidden="false" customHeight="true" outlineLevel="0" collapsed="false">
      <c r="B35" s="36" t="s">
        <v>286</v>
      </c>
      <c r="C35" s="4" t="s">
        <v>512</v>
      </c>
      <c r="D35" s="46" t="n">
        <f aca="false">SUMIFS('BOQ Detail'!H7:H446,'BOQ Detail'!B7:B446,B35)</f>
        <v>0</v>
      </c>
      <c r="E35" s="25" t="n">
        <f aca="false">COUNTIFS('Variation Register'!$B$6:$B$205,B35,'Variation Register'!$F$6:$F$205,"Approved")</f>
        <v>0</v>
      </c>
      <c r="F35" s="46" t="n">
        <f aca="false">SUMIFS('Variation Register'!$E$6:$E$205,'Variation Register'!$B$6:$B$205,B35,'Variation Register'!$F$6:$F$205,"Approved")</f>
        <v>0</v>
      </c>
      <c r="G35" s="44" t="n">
        <f aca="false">D35+F35</f>
        <v>0</v>
      </c>
      <c r="H35" s="46" t="n">
        <f aca="false">SUMIFS('PO Register'!$F$6:$F$205,'PO Register'!$B$6:$B$205,B35)</f>
        <v>0</v>
      </c>
      <c r="I35" s="46" t="n">
        <f aca="false">SUMIFS('Invoice Register'!$G$6:$G$405,'Invoice Register'!$B$6:$B$405,B35,'Invoice Register'!$K$6:$K$405,"Paid")+SUMIFS('Invoice Register'!$G$6:$G$405,'Invoice Register'!$B$6:$B$405,B35,'Invoice Register'!$K$6:$K$405,"Approved")+SUMIFS('Site Diary'!$I$6:$I$505,'Site Diary'!$H$6:$H$505,B35)</f>
        <v>0</v>
      </c>
      <c r="J35" s="46" t="n">
        <f aca="false">IF(H35=0,I35,MAX(H35,I35))</f>
        <v>0</v>
      </c>
      <c r="K35" s="46" t="n">
        <f aca="false">G35-J35</f>
        <v>0</v>
      </c>
      <c r="L35" s="43" t="n">
        <f aca="false">G35-I35</f>
        <v>0</v>
      </c>
      <c r="M35" s="4"/>
    </row>
    <row r="36" customFormat="false" ht="16.5" hidden="false" customHeight="true" outlineLevel="0" collapsed="false">
      <c r="B36" s="32" t="s">
        <v>296</v>
      </c>
      <c r="C36" s="33" t="s">
        <v>513</v>
      </c>
      <c r="D36" s="43" t="n">
        <f aca="false">SUMIFS('BOQ Detail'!H7:H446,'BOQ Detail'!B7:B446,B36)</f>
        <v>0</v>
      </c>
      <c r="E36" s="20" t="n">
        <f aca="false">COUNTIFS('Variation Register'!$B$6:$B$205,B36,'Variation Register'!$F$6:$F$205,"Approved")</f>
        <v>0</v>
      </c>
      <c r="F36" s="43" t="n">
        <f aca="false">SUMIFS('Variation Register'!$E$6:$E$205,'Variation Register'!$B$6:$B$205,B36,'Variation Register'!$F$6:$F$205,"Approved")</f>
        <v>0</v>
      </c>
      <c r="G36" s="44" t="n">
        <f aca="false">D36+F36</f>
        <v>0</v>
      </c>
      <c r="H36" s="43" t="n">
        <f aca="false">SUMIFS('PO Register'!$F$6:$F$205,'PO Register'!$B$6:$B$205,B36)</f>
        <v>0</v>
      </c>
      <c r="I36" s="43" t="n">
        <f aca="false">SUMIFS('Invoice Register'!$G$6:$G$405,'Invoice Register'!$B$6:$B$405,B36,'Invoice Register'!$K$6:$K$405,"Paid")+SUMIFS('Invoice Register'!$G$6:$G$405,'Invoice Register'!$B$6:$B$405,B36,'Invoice Register'!$K$6:$K$405,"Approved")+SUMIFS('Site Diary'!$I$6:$I$505,'Site Diary'!$H$6:$H$505,B36)</f>
        <v>0</v>
      </c>
      <c r="J36" s="43" t="n">
        <f aca="false">IF(H36=0,I36,MAX(H36,I36))</f>
        <v>0</v>
      </c>
      <c r="K36" s="43" t="n">
        <f aca="false">G36-J36</f>
        <v>0</v>
      </c>
      <c r="L36" s="45" t="n">
        <f aca="false">G36-I36</f>
        <v>0</v>
      </c>
      <c r="M36" s="33"/>
    </row>
    <row r="37" customFormat="false" ht="16.5" hidden="false" customHeight="true" outlineLevel="0" collapsed="false">
      <c r="B37" s="36" t="s">
        <v>306</v>
      </c>
      <c r="C37" s="4" t="s">
        <v>514</v>
      </c>
      <c r="D37" s="46" t="n">
        <f aca="false">SUMIFS('BOQ Detail'!H7:H446,'BOQ Detail'!B7:B446,B37)</f>
        <v>0</v>
      </c>
      <c r="E37" s="25" t="n">
        <f aca="false">COUNTIFS('Variation Register'!$B$6:$B$205,B37,'Variation Register'!$F$6:$F$205,"Approved")</f>
        <v>0</v>
      </c>
      <c r="F37" s="46" t="n">
        <f aca="false">SUMIFS('Variation Register'!$E$6:$E$205,'Variation Register'!$B$6:$B$205,B37,'Variation Register'!$F$6:$F$205,"Approved")</f>
        <v>0</v>
      </c>
      <c r="G37" s="44" t="n">
        <f aca="false">D37+F37</f>
        <v>0</v>
      </c>
      <c r="H37" s="46" t="n">
        <f aca="false">SUMIFS('PO Register'!$F$6:$F$205,'PO Register'!$B$6:$B$205,B37)</f>
        <v>0</v>
      </c>
      <c r="I37" s="46" t="n">
        <f aca="false">SUMIFS('Invoice Register'!$G$6:$G$405,'Invoice Register'!$B$6:$B$405,B37,'Invoice Register'!$K$6:$K$405,"Paid")+SUMIFS('Invoice Register'!$G$6:$G$405,'Invoice Register'!$B$6:$B$405,B37,'Invoice Register'!$K$6:$K$405,"Approved")+SUMIFS('Site Diary'!$I$6:$I$505,'Site Diary'!$H$6:$H$505,B37)</f>
        <v>0</v>
      </c>
      <c r="J37" s="46" t="n">
        <f aca="false">IF(H37=0,I37,MAX(H37,I37))</f>
        <v>0</v>
      </c>
      <c r="K37" s="46" t="n">
        <f aca="false">G37-J37</f>
        <v>0</v>
      </c>
      <c r="L37" s="43" t="n">
        <f aca="false">G37-I37</f>
        <v>0</v>
      </c>
      <c r="M37" s="4"/>
    </row>
    <row r="38" customFormat="false" ht="16.5" hidden="false" customHeight="true" outlineLevel="0" collapsed="false">
      <c r="B38" s="32" t="s">
        <v>316</v>
      </c>
      <c r="C38" s="33" t="s">
        <v>515</v>
      </c>
      <c r="D38" s="43" t="n">
        <f aca="false">SUMIFS('BOQ Detail'!H7:H446,'BOQ Detail'!B7:B446,B38)</f>
        <v>0</v>
      </c>
      <c r="E38" s="20" t="n">
        <f aca="false">COUNTIFS('Variation Register'!$B$6:$B$205,B38,'Variation Register'!$F$6:$F$205,"Approved")</f>
        <v>0</v>
      </c>
      <c r="F38" s="43" t="n">
        <f aca="false">SUMIFS('Variation Register'!$E$6:$E$205,'Variation Register'!$B$6:$B$205,B38,'Variation Register'!$F$6:$F$205,"Approved")</f>
        <v>0</v>
      </c>
      <c r="G38" s="44" t="n">
        <f aca="false">D38+F38</f>
        <v>0</v>
      </c>
      <c r="H38" s="43" t="n">
        <f aca="false">SUMIFS('PO Register'!$F$6:$F$205,'PO Register'!$B$6:$B$205,B38)</f>
        <v>0</v>
      </c>
      <c r="I38" s="43" t="n">
        <f aca="false">SUMIFS('Invoice Register'!$G$6:$G$405,'Invoice Register'!$B$6:$B$405,B38,'Invoice Register'!$K$6:$K$405,"Paid")+SUMIFS('Invoice Register'!$G$6:$G$405,'Invoice Register'!$B$6:$B$405,B38,'Invoice Register'!$K$6:$K$405,"Approved")+SUMIFS('Site Diary'!$I$6:$I$505,'Site Diary'!$H$6:$H$505,B38)</f>
        <v>0</v>
      </c>
      <c r="J38" s="43" t="n">
        <f aca="false">IF(H38=0,I38,MAX(H38,I38))</f>
        <v>0</v>
      </c>
      <c r="K38" s="43" t="n">
        <f aca="false">G38-J38</f>
        <v>0</v>
      </c>
      <c r="L38" s="45" t="n">
        <f aca="false">G38-I38</f>
        <v>0</v>
      </c>
      <c r="M38" s="33"/>
    </row>
    <row r="39" customFormat="false" ht="16.5" hidden="false" customHeight="true" outlineLevel="0" collapsed="false">
      <c r="B39" s="36" t="s">
        <v>326</v>
      </c>
      <c r="C39" s="4" t="s">
        <v>516</v>
      </c>
      <c r="D39" s="46" t="n">
        <f aca="false">SUMIFS('BOQ Detail'!H7:H446,'BOQ Detail'!B7:B446,B39)</f>
        <v>0</v>
      </c>
      <c r="E39" s="25" t="n">
        <f aca="false">COUNTIFS('Variation Register'!$B$6:$B$205,B39,'Variation Register'!$F$6:$F$205,"Approved")</f>
        <v>0</v>
      </c>
      <c r="F39" s="46" t="n">
        <f aca="false">SUMIFS('Variation Register'!$E$6:$E$205,'Variation Register'!$B$6:$B$205,B39,'Variation Register'!$F$6:$F$205,"Approved")</f>
        <v>0</v>
      </c>
      <c r="G39" s="44" t="n">
        <f aca="false">D39+F39</f>
        <v>0</v>
      </c>
      <c r="H39" s="46" t="n">
        <f aca="false">SUMIFS('PO Register'!$F$6:$F$205,'PO Register'!$B$6:$B$205,B39)</f>
        <v>0</v>
      </c>
      <c r="I39" s="46" t="n">
        <f aca="false">SUMIFS('Invoice Register'!$G$6:$G$405,'Invoice Register'!$B$6:$B$405,B39,'Invoice Register'!$K$6:$K$405,"Paid")+SUMIFS('Invoice Register'!$G$6:$G$405,'Invoice Register'!$B$6:$B$405,B39,'Invoice Register'!$K$6:$K$405,"Approved")+SUMIFS('Site Diary'!$I$6:$I$505,'Site Diary'!$H$6:$H$505,B39)</f>
        <v>0</v>
      </c>
      <c r="J39" s="46" t="n">
        <f aca="false">IF(H39=0,I39,MAX(H39,I39))</f>
        <v>0</v>
      </c>
      <c r="K39" s="46" t="n">
        <f aca="false">G39-J39</f>
        <v>0</v>
      </c>
      <c r="L39" s="43" t="n">
        <f aca="false">G39-I39</f>
        <v>0</v>
      </c>
      <c r="M39" s="4"/>
    </row>
    <row r="40" customFormat="false" ht="16.5" hidden="false" customHeight="true" outlineLevel="0" collapsed="false">
      <c r="B40" s="32" t="s">
        <v>336</v>
      </c>
      <c r="C40" s="33" t="s">
        <v>517</v>
      </c>
      <c r="D40" s="43" t="n">
        <f aca="false">SUMIFS('BOQ Detail'!H7:H446,'BOQ Detail'!B7:B446,B40)</f>
        <v>0</v>
      </c>
      <c r="E40" s="20" t="n">
        <f aca="false">COUNTIFS('Variation Register'!$B$6:$B$205,B40,'Variation Register'!$F$6:$F$205,"Approved")</f>
        <v>0</v>
      </c>
      <c r="F40" s="43" t="n">
        <f aca="false">SUMIFS('Variation Register'!$E$6:$E$205,'Variation Register'!$B$6:$B$205,B40,'Variation Register'!$F$6:$F$205,"Approved")</f>
        <v>0</v>
      </c>
      <c r="G40" s="44" t="n">
        <f aca="false">D40+F40</f>
        <v>0</v>
      </c>
      <c r="H40" s="43" t="n">
        <f aca="false">SUMIFS('PO Register'!$F$6:$F$205,'PO Register'!$B$6:$B$205,B40)</f>
        <v>0</v>
      </c>
      <c r="I40" s="43" t="n">
        <f aca="false">SUMIFS('Invoice Register'!$G$6:$G$405,'Invoice Register'!$B$6:$B$405,B40,'Invoice Register'!$K$6:$K$405,"Paid")+SUMIFS('Invoice Register'!$G$6:$G$405,'Invoice Register'!$B$6:$B$405,B40,'Invoice Register'!$K$6:$K$405,"Approved")+SUMIFS('Site Diary'!$I$6:$I$505,'Site Diary'!$H$6:$H$505,B40)</f>
        <v>0</v>
      </c>
      <c r="J40" s="43" t="n">
        <f aca="false">IF(H40=0,I40,MAX(H40,I40))</f>
        <v>0</v>
      </c>
      <c r="K40" s="43" t="n">
        <f aca="false">G40-J40</f>
        <v>0</v>
      </c>
      <c r="L40" s="45" t="n">
        <f aca="false">G40-I40</f>
        <v>0</v>
      </c>
      <c r="M40" s="33"/>
    </row>
    <row r="41" customFormat="false" ht="16.5" hidden="false" customHeight="true" outlineLevel="0" collapsed="false">
      <c r="B41" s="36" t="s">
        <v>346</v>
      </c>
      <c r="C41" s="4" t="s">
        <v>518</v>
      </c>
      <c r="D41" s="46" t="n">
        <f aca="false">SUMIFS('BOQ Detail'!H7:H446,'BOQ Detail'!B7:B446,B41)</f>
        <v>0</v>
      </c>
      <c r="E41" s="25" t="n">
        <f aca="false">COUNTIFS('Variation Register'!$B$6:$B$205,B41,'Variation Register'!$F$6:$F$205,"Approved")</f>
        <v>0</v>
      </c>
      <c r="F41" s="46" t="n">
        <f aca="false">SUMIFS('Variation Register'!$E$6:$E$205,'Variation Register'!$B$6:$B$205,B41,'Variation Register'!$F$6:$F$205,"Approved")</f>
        <v>0</v>
      </c>
      <c r="G41" s="44" t="n">
        <f aca="false">D41+F41</f>
        <v>0</v>
      </c>
      <c r="H41" s="46" t="n">
        <f aca="false">SUMIFS('PO Register'!$F$6:$F$205,'PO Register'!$B$6:$B$205,B41)</f>
        <v>0</v>
      </c>
      <c r="I41" s="46" t="n">
        <f aca="false">SUMIFS('Invoice Register'!$G$6:$G$405,'Invoice Register'!$B$6:$B$405,B41,'Invoice Register'!$K$6:$K$405,"Paid")+SUMIFS('Invoice Register'!$G$6:$G$405,'Invoice Register'!$B$6:$B$405,B41,'Invoice Register'!$K$6:$K$405,"Approved")+SUMIFS('Site Diary'!$I$6:$I$505,'Site Diary'!$H$6:$H$505,B41)</f>
        <v>0</v>
      </c>
      <c r="J41" s="46" t="n">
        <f aca="false">IF(H41=0,I41,MAX(H41,I41))</f>
        <v>0</v>
      </c>
      <c r="K41" s="46" t="n">
        <f aca="false">G41-J41</f>
        <v>0</v>
      </c>
      <c r="L41" s="43" t="n">
        <f aca="false">G41-I41</f>
        <v>0</v>
      </c>
      <c r="M41" s="4"/>
    </row>
    <row r="42" customFormat="false" ht="16.5" hidden="false" customHeight="true" outlineLevel="0" collapsed="false">
      <c r="B42" s="32" t="s">
        <v>356</v>
      </c>
      <c r="C42" s="33" t="s">
        <v>519</v>
      </c>
      <c r="D42" s="43" t="n">
        <f aca="false">SUMIFS('BOQ Detail'!H7:H446,'BOQ Detail'!B7:B446,B42)</f>
        <v>0</v>
      </c>
      <c r="E42" s="20" t="n">
        <f aca="false">COUNTIFS('Variation Register'!$B$6:$B$205,B42,'Variation Register'!$F$6:$F$205,"Approved")</f>
        <v>0</v>
      </c>
      <c r="F42" s="43" t="n">
        <f aca="false">SUMIFS('Variation Register'!$E$6:$E$205,'Variation Register'!$B$6:$B$205,B42,'Variation Register'!$F$6:$F$205,"Approved")</f>
        <v>0</v>
      </c>
      <c r="G42" s="44" t="n">
        <f aca="false">D42+F42</f>
        <v>0</v>
      </c>
      <c r="H42" s="43" t="n">
        <f aca="false">SUMIFS('PO Register'!$F$6:$F$205,'PO Register'!$B$6:$B$205,B42)</f>
        <v>0</v>
      </c>
      <c r="I42" s="43" t="n">
        <f aca="false">SUMIFS('Invoice Register'!$G$6:$G$405,'Invoice Register'!$B$6:$B$405,B42,'Invoice Register'!$K$6:$K$405,"Paid")+SUMIFS('Invoice Register'!$G$6:$G$405,'Invoice Register'!$B$6:$B$405,B42,'Invoice Register'!$K$6:$K$405,"Approved")+SUMIFS('Site Diary'!$I$6:$I$505,'Site Diary'!$H$6:$H$505,B42)</f>
        <v>0</v>
      </c>
      <c r="J42" s="43" t="n">
        <f aca="false">IF(H42=0,I42,MAX(H42,I42))</f>
        <v>0</v>
      </c>
      <c r="K42" s="43" t="n">
        <f aca="false">G42-J42</f>
        <v>0</v>
      </c>
      <c r="L42" s="45" t="n">
        <f aca="false">G42-I42</f>
        <v>0</v>
      </c>
      <c r="M42" s="33"/>
    </row>
    <row r="43" customFormat="false" ht="16.5" hidden="false" customHeight="true" outlineLevel="0" collapsed="false">
      <c r="B43" s="36" t="s">
        <v>366</v>
      </c>
      <c r="C43" s="4" t="s">
        <v>520</v>
      </c>
      <c r="D43" s="46" t="n">
        <f aca="false">SUMIFS('BOQ Detail'!H7:H446,'BOQ Detail'!B7:B446,B43)</f>
        <v>0</v>
      </c>
      <c r="E43" s="25" t="n">
        <f aca="false">COUNTIFS('Variation Register'!$B$6:$B$205,B43,'Variation Register'!$F$6:$F$205,"Approved")</f>
        <v>0</v>
      </c>
      <c r="F43" s="46" t="n">
        <f aca="false">SUMIFS('Variation Register'!$E$6:$E$205,'Variation Register'!$B$6:$B$205,B43,'Variation Register'!$F$6:$F$205,"Approved")</f>
        <v>0</v>
      </c>
      <c r="G43" s="44" t="n">
        <f aca="false">D43+F43</f>
        <v>0</v>
      </c>
      <c r="H43" s="46" t="n">
        <f aca="false">SUMIFS('PO Register'!$F$6:$F$205,'PO Register'!$B$6:$B$205,B43)</f>
        <v>0</v>
      </c>
      <c r="I43" s="46" t="n">
        <f aca="false">SUMIFS('Invoice Register'!$G$6:$G$405,'Invoice Register'!$B$6:$B$405,B43,'Invoice Register'!$K$6:$K$405,"Paid")+SUMIFS('Invoice Register'!$G$6:$G$405,'Invoice Register'!$B$6:$B$405,B43,'Invoice Register'!$K$6:$K$405,"Approved")+SUMIFS('Site Diary'!$I$6:$I$505,'Site Diary'!$H$6:$H$505,B43)</f>
        <v>0</v>
      </c>
      <c r="J43" s="46" t="n">
        <f aca="false">IF(H43=0,I43,MAX(H43,I43))</f>
        <v>0</v>
      </c>
      <c r="K43" s="46" t="n">
        <f aca="false">G43-J43</f>
        <v>0</v>
      </c>
      <c r="L43" s="43" t="n">
        <f aca="false">G43-I43</f>
        <v>0</v>
      </c>
      <c r="M43" s="4"/>
    </row>
    <row r="44" customFormat="false" ht="16.5" hidden="false" customHeight="true" outlineLevel="0" collapsed="false">
      <c r="B44" s="32" t="s">
        <v>376</v>
      </c>
      <c r="C44" s="33" t="s">
        <v>521</v>
      </c>
      <c r="D44" s="43" t="n">
        <f aca="false">SUMIFS('BOQ Detail'!H7:H446,'BOQ Detail'!B7:B446,B44)</f>
        <v>0</v>
      </c>
      <c r="E44" s="20" t="n">
        <f aca="false">COUNTIFS('Variation Register'!$B$6:$B$205,B44,'Variation Register'!$F$6:$F$205,"Approved")</f>
        <v>0</v>
      </c>
      <c r="F44" s="43" t="n">
        <f aca="false">SUMIFS('Variation Register'!$E$6:$E$205,'Variation Register'!$B$6:$B$205,B44,'Variation Register'!$F$6:$F$205,"Approved")</f>
        <v>0</v>
      </c>
      <c r="G44" s="44" t="n">
        <f aca="false">D44+F44</f>
        <v>0</v>
      </c>
      <c r="H44" s="43" t="n">
        <f aca="false">SUMIFS('PO Register'!$F$6:$F$205,'PO Register'!$B$6:$B$205,B44)</f>
        <v>0</v>
      </c>
      <c r="I44" s="43" t="n">
        <f aca="false">SUMIFS('Invoice Register'!$G$6:$G$405,'Invoice Register'!$B$6:$B$405,B44,'Invoice Register'!$K$6:$K$405,"Paid")+SUMIFS('Invoice Register'!$G$6:$G$405,'Invoice Register'!$B$6:$B$405,B44,'Invoice Register'!$K$6:$K$405,"Approved")+SUMIFS('Site Diary'!$I$6:$I$505,'Site Diary'!$H$6:$H$505,B44)</f>
        <v>0</v>
      </c>
      <c r="J44" s="43" t="n">
        <f aca="false">IF(H44=0,I44,MAX(H44,I44))</f>
        <v>0</v>
      </c>
      <c r="K44" s="43" t="n">
        <f aca="false">G44-J44</f>
        <v>0</v>
      </c>
      <c r="L44" s="45" t="n">
        <f aca="false">G44-I44</f>
        <v>0</v>
      </c>
      <c r="M44" s="33"/>
    </row>
    <row r="45" customFormat="false" ht="16.5" hidden="false" customHeight="true" outlineLevel="0" collapsed="false">
      <c r="B45" s="36" t="s">
        <v>386</v>
      </c>
      <c r="C45" s="4" t="s">
        <v>522</v>
      </c>
      <c r="D45" s="46" t="n">
        <f aca="false">SUMIFS('BOQ Detail'!H7:H446,'BOQ Detail'!B7:B446,B45)</f>
        <v>0</v>
      </c>
      <c r="E45" s="25" t="n">
        <f aca="false">COUNTIFS('Variation Register'!$B$6:$B$205,B45,'Variation Register'!$F$6:$F$205,"Approved")</f>
        <v>0</v>
      </c>
      <c r="F45" s="46" t="n">
        <f aca="false">SUMIFS('Variation Register'!$E$6:$E$205,'Variation Register'!$B$6:$B$205,B45,'Variation Register'!$F$6:$F$205,"Approved")</f>
        <v>0</v>
      </c>
      <c r="G45" s="44" t="n">
        <f aca="false">D45+F45</f>
        <v>0</v>
      </c>
      <c r="H45" s="46" t="n">
        <f aca="false">SUMIFS('PO Register'!$F$6:$F$205,'PO Register'!$B$6:$B$205,B45)</f>
        <v>0</v>
      </c>
      <c r="I45" s="46" t="n">
        <f aca="false">SUMIFS('Invoice Register'!$G$6:$G$405,'Invoice Register'!$B$6:$B$405,B45,'Invoice Register'!$K$6:$K$405,"Paid")+SUMIFS('Invoice Register'!$G$6:$G$405,'Invoice Register'!$B$6:$B$405,B45,'Invoice Register'!$K$6:$K$405,"Approved")+SUMIFS('Site Diary'!$I$6:$I$505,'Site Diary'!$H$6:$H$505,B45)</f>
        <v>0</v>
      </c>
      <c r="J45" s="46" t="n">
        <f aca="false">IF(H45=0,I45,MAX(H45,I45))</f>
        <v>0</v>
      </c>
      <c r="K45" s="46" t="n">
        <f aca="false">G45-J45</f>
        <v>0</v>
      </c>
      <c r="L45" s="43" t="n">
        <f aca="false">G45-I45</f>
        <v>0</v>
      </c>
      <c r="M45" s="4"/>
    </row>
    <row r="46" customFormat="false" ht="16.5" hidden="false" customHeight="true" outlineLevel="0" collapsed="false">
      <c r="B46" s="32" t="s">
        <v>396</v>
      </c>
      <c r="C46" s="33" t="s">
        <v>523</v>
      </c>
      <c r="D46" s="43" t="n">
        <f aca="false">SUMIFS('BOQ Detail'!H7:H446,'BOQ Detail'!B7:B446,B46)</f>
        <v>0</v>
      </c>
      <c r="E46" s="20" t="n">
        <f aca="false">COUNTIFS('Variation Register'!$B$6:$B$205,B46,'Variation Register'!$F$6:$F$205,"Approved")</f>
        <v>0</v>
      </c>
      <c r="F46" s="43" t="n">
        <f aca="false">SUMIFS('Variation Register'!$E$6:$E$205,'Variation Register'!$B$6:$B$205,B46,'Variation Register'!$F$6:$F$205,"Approved")</f>
        <v>0</v>
      </c>
      <c r="G46" s="44" t="n">
        <f aca="false">D46+F46</f>
        <v>0</v>
      </c>
      <c r="H46" s="43" t="n">
        <f aca="false">SUMIFS('PO Register'!$F$6:$F$205,'PO Register'!$B$6:$B$205,B46)</f>
        <v>0</v>
      </c>
      <c r="I46" s="43" t="n">
        <f aca="false">SUMIFS('Invoice Register'!$G$6:$G$405,'Invoice Register'!$B$6:$B$405,B46,'Invoice Register'!$K$6:$K$405,"Paid")+SUMIFS('Invoice Register'!$G$6:$G$405,'Invoice Register'!$B$6:$B$405,B46,'Invoice Register'!$K$6:$K$405,"Approved")+SUMIFS('Site Diary'!$I$6:$I$505,'Site Diary'!$H$6:$H$505,B46)</f>
        <v>0</v>
      </c>
      <c r="J46" s="43" t="n">
        <f aca="false">IF(H46=0,I46,MAX(H46,I46))</f>
        <v>0</v>
      </c>
      <c r="K46" s="43" t="n">
        <f aca="false">G46-J46</f>
        <v>0</v>
      </c>
      <c r="L46" s="45" t="n">
        <f aca="false">G46-I46</f>
        <v>0</v>
      </c>
      <c r="M46" s="33"/>
    </row>
    <row r="47" customFormat="false" ht="16.5" hidden="false" customHeight="true" outlineLevel="0" collapsed="false">
      <c r="B47" s="36" t="s">
        <v>406</v>
      </c>
      <c r="C47" s="4" t="s">
        <v>524</v>
      </c>
      <c r="D47" s="46" t="n">
        <f aca="false">SUMIFS('BOQ Detail'!H7:H446,'BOQ Detail'!B7:B446,B47)</f>
        <v>0</v>
      </c>
      <c r="E47" s="25" t="n">
        <f aca="false">COUNTIFS('Variation Register'!$B$6:$B$205,B47,'Variation Register'!$F$6:$F$205,"Approved")</f>
        <v>0</v>
      </c>
      <c r="F47" s="46" t="n">
        <f aca="false">SUMIFS('Variation Register'!$E$6:$E$205,'Variation Register'!$B$6:$B$205,B47,'Variation Register'!$F$6:$F$205,"Approved")</f>
        <v>0</v>
      </c>
      <c r="G47" s="44" t="n">
        <f aca="false">D47+F47</f>
        <v>0</v>
      </c>
      <c r="H47" s="46" t="n">
        <f aca="false">SUMIFS('PO Register'!$F$6:$F$205,'PO Register'!$B$6:$B$205,B47)</f>
        <v>0</v>
      </c>
      <c r="I47" s="46" t="n">
        <f aca="false">SUMIFS('Invoice Register'!$G$6:$G$405,'Invoice Register'!$B$6:$B$405,B47,'Invoice Register'!$K$6:$K$405,"Paid")+SUMIFS('Invoice Register'!$G$6:$G$405,'Invoice Register'!$B$6:$B$405,B47,'Invoice Register'!$K$6:$K$405,"Approved")+SUMIFS('Site Diary'!$I$6:$I$505,'Site Diary'!$H$6:$H$505,B47)</f>
        <v>0</v>
      </c>
      <c r="J47" s="46" t="n">
        <f aca="false">IF(H47=0,I47,MAX(H47,I47))</f>
        <v>0</v>
      </c>
      <c r="K47" s="46" t="n">
        <f aca="false">G47-J47</f>
        <v>0</v>
      </c>
      <c r="L47" s="43" t="n">
        <f aca="false">G47-I47</f>
        <v>0</v>
      </c>
      <c r="M47" s="4"/>
    </row>
    <row r="48" customFormat="false" ht="16.5" hidden="false" customHeight="true" outlineLevel="0" collapsed="false">
      <c r="B48" s="32" t="s">
        <v>416</v>
      </c>
      <c r="C48" s="33" t="s">
        <v>525</v>
      </c>
      <c r="D48" s="43" t="n">
        <f aca="false">SUMIFS('BOQ Detail'!H7:H446,'BOQ Detail'!B7:B446,B48)</f>
        <v>0</v>
      </c>
      <c r="E48" s="20" t="n">
        <f aca="false">COUNTIFS('Variation Register'!$B$6:$B$205,B48,'Variation Register'!$F$6:$F$205,"Approved")</f>
        <v>0</v>
      </c>
      <c r="F48" s="43" t="n">
        <f aca="false">SUMIFS('Variation Register'!$E$6:$E$205,'Variation Register'!$B$6:$B$205,B48,'Variation Register'!$F$6:$F$205,"Approved")</f>
        <v>0</v>
      </c>
      <c r="G48" s="44" t="n">
        <f aca="false">D48+F48</f>
        <v>0</v>
      </c>
      <c r="H48" s="43" t="n">
        <f aca="false">SUMIFS('PO Register'!$F$6:$F$205,'PO Register'!$B$6:$B$205,B48)</f>
        <v>0</v>
      </c>
      <c r="I48" s="43" t="n">
        <f aca="false">SUMIFS('Invoice Register'!$G$6:$G$405,'Invoice Register'!$B$6:$B$405,B48,'Invoice Register'!$K$6:$K$405,"Paid")+SUMIFS('Invoice Register'!$G$6:$G$405,'Invoice Register'!$B$6:$B$405,B48,'Invoice Register'!$K$6:$K$405,"Approved")+SUMIFS('Site Diary'!$I$6:$I$505,'Site Diary'!$H$6:$H$505,B48)</f>
        <v>0</v>
      </c>
      <c r="J48" s="43" t="n">
        <f aca="false">IF(H48=0,I48,MAX(H48,I48))</f>
        <v>0</v>
      </c>
      <c r="K48" s="43" t="n">
        <f aca="false">G48-J48</f>
        <v>0</v>
      </c>
      <c r="L48" s="45" t="n">
        <f aca="false">G48-I48</f>
        <v>0</v>
      </c>
      <c r="M48" s="33"/>
    </row>
    <row r="49" customFormat="false" ht="16.5" hidden="false" customHeight="true" outlineLevel="0" collapsed="false">
      <c r="B49" s="36" t="s">
        <v>426</v>
      </c>
      <c r="C49" s="4" t="s">
        <v>526</v>
      </c>
      <c r="D49" s="46" t="n">
        <f aca="false">SUMIFS('BOQ Detail'!H7:H446,'BOQ Detail'!B7:B446,B49)</f>
        <v>0</v>
      </c>
      <c r="E49" s="25" t="n">
        <f aca="false">COUNTIFS('Variation Register'!$B$6:$B$205,B49,'Variation Register'!$F$6:$F$205,"Approved")</f>
        <v>0</v>
      </c>
      <c r="F49" s="46" t="n">
        <f aca="false">SUMIFS('Variation Register'!$E$6:$E$205,'Variation Register'!$B$6:$B$205,B49,'Variation Register'!$F$6:$F$205,"Approved")</f>
        <v>0</v>
      </c>
      <c r="G49" s="44" t="n">
        <f aca="false">D49+F49</f>
        <v>0</v>
      </c>
      <c r="H49" s="46" t="n">
        <f aca="false">SUMIFS('PO Register'!$F$6:$F$205,'PO Register'!$B$6:$B$205,B49)</f>
        <v>0</v>
      </c>
      <c r="I49" s="46" t="n">
        <f aca="false">SUMIFS('Invoice Register'!$G$6:$G$405,'Invoice Register'!$B$6:$B$405,B49,'Invoice Register'!$K$6:$K$405,"Paid")+SUMIFS('Invoice Register'!$G$6:$G$405,'Invoice Register'!$B$6:$B$405,B49,'Invoice Register'!$K$6:$K$405,"Approved")+SUMIFS('Site Diary'!$I$6:$I$505,'Site Diary'!$H$6:$H$505,B49)</f>
        <v>0</v>
      </c>
      <c r="J49" s="46" t="n">
        <f aca="false">IF(H49=0,I49,MAX(H49,I49))</f>
        <v>0</v>
      </c>
      <c r="K49" s="46" t="n">
        <f aca="false">G49-J49</f>
        <v>0</v>
      </c>
      <c r="L49" s="43" t="n">
        <f aca="false">G49-I49</f>
        <v>0</v>
      </c>
      <c r="M49" s="4"/>
    </row>
    <row r="50" customFormat="false" ht="16.5" hidden="false" customHeight="true" outlineLevel="0" collapsed="false">
      <c r="B50" s="32" t="s">
        <v>436</v>
      </c>
      <c r="C50" s="33" t="s">
        <v>527</v>
      </c>
      <c r="D50" s="43" t="n">
        <f aca="false">SUMIFS('BOQ Detail'!H7:H446,'BOQ Detail'!B7:B446,B50)</f>
        <v>0</v>
      </c>
      <c r="E50" s="20" t="n">
        <f aca="false">COUNTIFS('Variation Register'!$B$6:$B$205,B50,'Variation Register'!$F$6:$F$205,"Approved")</f>
        <v>0</v>
      </c>
      <c r="F50" s="43" t="n">
        <f aca="false">SUMIFS('Variation Register'!$E$6:$E$205,'Variation Register'!$B$6:$B$205,B50,'Variation Register'!$F$6:$F$205,"Approved")</f>
        <v>0</v>
      </c>
      <c r="G50" s="44" t="n">
        <f aca="false">D50+F50</f>
        <v>0</v>
      </c>
      <c r="H50" s="43" t="n">
        <f aca="false">SUMIFS('PO Register'!$F$6:$F$205,'PO Register'!$B$6:$B$205,B50)</f>
        <v>0</v>
      </c>
      <c r="I50" s="43" t="n">
        <f aca="false">SUMIFS('Invoice Register'!$G$6:$G$405,'Invoice Register'!$B$6:$B$405,B50,'Invoice Register'!$K$6:$K$405,"Paid")+SUMIFS('Invoice Register'!$G$6:$G$405,'Invoice Register'!$B$6:$B$405,B50,'Invoice Register'!$K$6:$K$405,"Approved")+SUMIFS('Site Diary'!$I$6:$I$505,'Site Diary'!$H$6:$H$505,B50)</f>
        <v>0</v>
      </c>
      <c r="J50" s="43" t="n">
        <f aca="false">IF(H50=0,I50,MAX(H50,I50))</f>
        <v>0</v>
      </c>
      <c r="K50" s="43" t="n">
        <f aca="false">G50-J50</f>
        <v>0</v>
      </c>
      <c r="L50" s="45" t="n">
        <f aca="false">G50-I50</f>
        <v>0</v>
      </c>
      <c r="M50" s="33"/>
    </row>
    <row r="51" customFormat="false" ht="16.5" hidden="false" customHeight="true" outlineLevel="0" collapsed="false">
      <c r="B51" s="36" t="s">
        <v>446</v>
      </c>
      <c r="C51" s="4" t="s">
        <v>528</v>
      </c>
      <c r="D51" s="46" t="n">
        <f aca="false">SUMIFS('BOQ Detail'!H7:H446,'BOQ Detail'!B7:B446,B51)</f>
        <v>0</v>
      </c>
      <c r="E51" s="25" t="n">
        <f aca="false">COUNTIFS('Variation Register'!$B$6:$B$205,B51,'Variation Register'!$F$6:$F$205,"Approved")</f>
        <v>0</v>
      </c>
      <c r="F51" s="46" t="n">
        <f aca="false">SUMIFS('Variation Register'!$E$6:$E$205,'Variation Register'!$B$6:$B$205,B51,'Variation Register'!$F$6:$F$205,"Approved")</f>
        <v>0</v>
      </c>
      <c r="G51" s="44" t="n">
        <f aca="false">D51+F51</f>
        <v>0</v>
      </c>
      <c r="H51" s="46" t="n">
        <f aca="false">SUMIFS('PO Register'!$F$6:$F$205,'PO Register'!$B$6:$B$205,B51)</f>
        <v>0</v>
      </c>
      <c r="I51" s="46" t="n">
        <f aca="false">SUMIFS('Invoice Register'!$G$6:$G$405,'Invoice Register'!$B$6:$B$405,B51,'Invoice Register'!$K$6:$K$405,"Paid")+SUMIFS('Invoice Register'!$G$6:$G$405,'Invoice Register'!$B$6:$B$405,B51,'Invoice Register'!$K$6:$K$405,"Approved")+SUMIFS('Site Diary'!$I$6:$I$505,'Site Diary'!$H$6:$H$505,B51)</f>
        <v>0</v>
      </c>
      <c r="J51" s="46" t="n">
        <f aca="false">IF(H51=0,I51,MAX(H51,I51))</f>
        <v>0</v>
      </c>
      <c r="K51" s="46" t="n">
        <f aca="false">G51-J51</f>
        <v>0</v>
      </c>
      <c r="L51" s="43" t="n">
        <f aca="false">G51-I51</f>
        <v>0</v>
      </c>
      <c r="M51" s="4"/>
    </row>
    <row r="52" customFormat="false" ht="16.5" hidden="false" customHeight="true" outlineLevel="0" collapsed="false">
      <c r="B52" s="32" t="s">
        <v>456</v>
      </c>
      <c r="C52" s="33" t="s">
        <v>529</v>
      </c>
      <c r="D52" s="43" t="n">
        <f aca="false">SUMIFS('BOQ Detail'!H7:H446,'BOQ Detail'!B7:B446,B52)</f>
        <v>0</v>
      </c>
      <c r="E52" s="20" t="n">
        <f aca="false">COUNTIFS('Variation Register'!$B$6:$B$205,B52,'Variation Register'!$F$6:$F$205,"Approved")</f>
        <v>0</v>
      </c>
      <c r="F52" s="43" t="n">
        <f aca="false">SUMIFS('Variation Register'!$E$6:$E$205,'Variation Register'!$B$6:$B$205,B52,'Variation Register'!$F$6:$F$205,"Approved")</f>
        <v>0</v>
      </c>
      <c r="G52" s="44" t="n">
        <f aca="false">D52+F52</f>
        <v>0</v>
      </c>
      <c r="H52" s="43" t="n">
        <f aca="false">SUMIFS('PO Register'!$F$6:$F$205,'PO Register'!$B$6:$B$205,B52)</f>
        <v>0</v>
      </c>
      <c r="I52" s="43" t="n">
        <f aca="false">SUMIFS('Invoice Register'!$G$6:$G$405,'Invoice Register'!$B$6:$B$405,B52,'Invoice Register'!$K$6:$K$405,"Paid")+SUMIFS('Invoice Register'!$G$6:$G$405,'Invoice Register'!$B$6:$B$405,B52,'Invoice Register'!$K$6:$K$405,"Approved")+SUMIFS('Site Diary'!$I$6:$I$505,'Site Diary'!$H$6:$H$505,B52)</f>
        <v>0</v>
      </c>
      <c r="J52" s="43" t="n">
        <f aca="false">IF(H52=0,I52,MAX(H52,I52))</f>
        <v>0</v>
      </c>
      <c r="K52" s="43" t="n">
        <f aca="false">G52-J52</f>
        <v>0</v>
      </c>
      <c r="L52" s="45" t="n">
        <f aca="false">G52-I52</f>
        <v>0</v>
      </c>
      <c r="M52" s="33"/>
    </row>
    <row r="53" customFormat="false" ht="16.5" hidden="false" customHeight="true" outlineLevel="0" collapsed="false">
      <c r="B53" s="36" t="s">
        <v>466</v>
      </c>
      <c r="C53" s="4" t="s">
        <v>530</v>
      </c>
      <c r="D53" s="46" t="n">
        <f aca="false">SUMIFS('BOQ Detail'!H7:H446,'BOQ Detail'!B7:B446,B53)</f>
        <v>0</v>
      </c>
      <c r="E53" s="25" t="n">
        <f aca="false">COUNTIFS('Variation Register'!$B$6:$B$205,B53,'Variation Register'!$F$6:$F$205,"Approved")</f>
        <v>0</v>
      </c>
      <c r="F53" s="46" t="n">
        <f aca="false">SUMIFS('Variation Register'!$E$6:$E$205,'Variation Register'!$B$6:$B$205,B53,'Variation Register'!$F$6:$F$205,"Approved")</f>
        <v>0</v>
      </c>
      <c r="G53" s="44" t="n">
        <f aca="false">D53+F53</f>
        <v>0</v>
      </c>
      <c r="H53" s="46" t="n">
        <f aca="false">SUMIFS('PO Register'!$F$6:$F$205,'PO Register'!$B$6:$B$205,B53)</f>
        <v>0</v>
      </c>
      <c r="I53" s="46" t="n">
        <f aca="false">SUMIFS('Invoice Register'!$G$6:$G$405,'Invoice Register'!$B$6:$B$405,B53,'Invoice Register'!$K$6:$K$405,"Paid")+SUMIFS('Invoice Register'!$G$6:$G$405,'Invoice Register'!$B$6:$B$405,B53,'Invoice Register'!$K$6:$K$405,"Approved")+SUMIFS('Site Diary'!$I$6:$I$505,'Site Diary'!$H$6:$H$505,B53)</f>
        <v>0</v>
      </c>
      <c r="J53" s="46" t="n">
        <f aca="false">IF(H53=0,I53,MAX(H53,I53))</f>
        <v>0</v>
      </c>
      <c r="K53" s="46" t="n">
        <f aca="false">G53-J53</f>
        <v>0</v>
      </c>
      <c r="L53" s="43" t="n">
        <f aca="false">G53-I53</f>
        <v>0</v>
      </c>
      <c r="M53" s="4"/>
    </row>
    <row r="54" customFormat="false" ht="19.5" hidden="false" customHeight="true" outlineLevel="0" collapsed="false">
      <c r="B54" s="38" t="s">
        <v>531</v>
      </c>
      <c r="C54" s="2"/>
      <c r="D54" s="39" t="n">
        <f aca="false">SUM(D10:D53)</f>
        <v>0</v>
      </c>
      <c r="E54" s="2"/>
      <c r="F54" s="39" t="n">
        <f aca="false">SUM(F10:F53)</f>
        <v>0</v>
      </c>
      <c r="G54" s="39" t="n">
        <f aca="false">SUM(G10:G53)</f>
        <v>0</v>
      </c>
      <c r="H54" s="39" t="n">
        <f aca="false">SUM(H10:H53)</f>
        <v>0</v>
      </c>
      <c r="I54" s="39" t="n">
        <f aca="false">SUM(I10:I53)</f>
        <v>0</v>
      </c>
      <c r="J54" s="39" t="n">
        <f aca="false">SUM(J10:J53)</f>
        <v>0</v>
      </c>
      <c r="K54" s="39" t="n">
        <f aca="false">SUM(K10:K53)</f>
        <v>0</v>
      </c>
      <c r="L54" s="39" t="n">
        <f aca="false">SUM(L10:L53)</f>
        <v>0</v>
      </c>
      <c r="M54" s="2"/>
    </row>
    <row r="55" customFormat="false" ht="18" hidden="false" customHeight="true" outlineLevel="0" collapsed="false">
      <c r="B55" s="40" t="s">
        <v>532</v>
      </c>
      <c r="C55" s="13"/>
      <c r="D55" s="47" t="n">
        <f aca="false">D54*$D$6</f>
        <v>0</v>
      </c>
      <c r="E55" s="13"/>
      <c r="F55" s="13"/>
      <c r="G55" s="47" t="n">
        <f aca="false">G54*$D$6</f>
        <v>0</v>
      </c>
      <c r="H55" s="47" t="n">
        <f aca="false">H54*$D$6</f>
        <v>0</v>
      </c>
      <c r="I55" s="47" t="n">
        <f aca="false">I54*$D$6</f>
        <v>0</v>
      </c>
      <c r="J55" s="47" t="n">
        <f aca="false">J54*$D$6</f>
        <v>0</v>
      </c>
      <c r="K55" s="13"/>
      <c r="L55" s="13"/>
      <c r="M55" s="13"/>
    </row>
    <row r="56" customFormat="false" ht="18" hidden="false" customHeight="true" outlineLevel="0" collapsed="false">
      <c r="B56" s="40" t="s">
        <v>533</v>
      </c>
      <c r="C56" s="13"/>
      <c r="D56" s="47" t="n">
        <f aca="false">D54*(1+$D$6)</f>
        <v>0</v>
      </c>
      <c r="E56" s="13"/>
      <c r="F56" s="13"/>
      <c r="G56" s="47" t="n">
        <f aca="false">G54*(1+$D$6)</f>
        <v>0</v>
      </c>
      <c r="H56" s="47" t="n">
        <f aca="false">H54*(1+$D$6)</f>
        <v>0</v>
      </c>
      <c r="I56" s="47" t="n">
        <f aca="false">I54*(1+$D$6)</f>
        <v>0</v>
      </c>
      <c r="J56" s="47" t="n">
        <f aca="false">J54*(1+$D$6)</f>
        <v>0</v>
      </c>
      <c r="K56" s="13"/>
      <c r="L56" s="13"/>
      <c r="M56" s="13"/>
    </row>
    <row r="57" customFormat="false" ht="18" hidden="false" customHeight="true" outlineLevel="0" collapsed="false">
      <c r="B57" s="40" t="s">
        <v>534</v>
      </c>
      <c r="C57" s="13"/>
      <c r="D57" s="47" t="n">
        <f aca="false">D56*$E$6</f>
        <v>0</v>
      </c>
      <c r="E57" s="13"/>
      <c r="F57" s="13"/>
      <c r="G57" s="47" t="n">
        <f aca="false">G56*$E$6</f>
        <v>0</v>
      </c>
      <c r="H57" s="47" t="n">
        <f aca="false">H56*$E$6</f>
        <v>0</v>
      </c>
      <c r="I57" s="47" t="n">
        <f aca="false">I56*$E$6</f>
        <v>0</v>
      </c>
      <c r="J57" s="47" t="n">
        <f aca="false">J56*$E$6</f>
        <v>0</v>
      </c>
      <c r="K57" s="13"/>
      <c r="L57" s="13"/>
      <c r="M57" s="13"/>
    </row>
    <row r="58" customFormat="false" ht="18" hidden="false" customHeight="true" outlineLevel="0" collapsed="false">
      <c r="B58" s="40" t="s">
        <v>535</v>
      </c>
      <c r="C58" s="13"/>
      <c r="D58" s="47" t="n">
        <f aca="false">D56*(1+$E$6)</f>
        <v>0</v>
      </c>
      <c r="E58" s="13"/>
      <c r="F58" s="13"/>
      <c r="G58" s="47" t="n">
        <f aca="false">G56*(1+$E$6)</f>
        <v>0</v>
      </c>
      <c r="H58" s="47" t="n">
        <f aca="false">H56*(1+$E$6)</f>
        <v>0</v>
      </c>
      <c r="I58" s="47" t="n">
        <f aca="false">I56*(1+$E$6)</f>
        <v>0</v>
      </c>
      <c r="J58" s="47" t="n">
        <f aca="false">J56*(1+$E$6)</f>
        <v>0</v>
      </c>
      <c r="K58" s="13"/>
      <c r="L58" s="13"/>
      <c r="M5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true"/>
  </sheetPr>
  <dimension ref="B2:L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3"/>
  </cols>
  <sheetData>
    <row r="2" customFormat="false" ht="39.75" hidden="false" customHeight="true" outlineLevel="0" collapsed="false">
      <c r="B2" s="1" t="s">
        <v>536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4.5" hidden="false" customHeight="true" outlineLevel="0" collapsed="false"/>
    <row r="4" customFormat="false" ht="15.75" hidden="false" customHeight="true" outlineLevel="0" collapsed="false">
      <c r="B4" s="29" t="s">
        <v>537</v>
      </c>
      <c r="C4" s="5"/>
      <c r="D4" s="5"/>
      <c r="E4" s="5"/>
      <c r="F4" s="5"/>
      <c r="G4" s="5"/>
      <c r="H4" s="5"/>
      <c r="I4" s="5"/>
      <c r="J4" s="5"/>
      <c r="K4" s="5"/>
    </row>
    <row r="5" customFormat="false" ht="27.75" hidden="false" customHeight="true" outlineLevel="0" collapsed="false">
      <c r="B5" s="15" t="s">
        <v>19</v>
      </c>
      <c r="C5" s="15" t="s">
        <v>538</v>
      </c>
      <c r="D5" s="15" t="s">
        <v>539</v>
      </c>
      <c r="E5" s="15" t="s">
        <v>540</v>
      </c>
      <c r="F5" s="15" t="s">
        <v>541</v>
      </c>
      <c r="G5" s="15" t="s">
        <v>542</v>
      </c>
      <c r="H5" s="15" t="s">
        <v>543</v>
      </c>
      <c r="I5" s="15" t="s">
        <v>544</v>
      </c>
      <c r="J5" s="15" t="s">
        <v>545</v>
      </c>
      <c r="K5" s="15" t="s">
        <v>34</v>
      </c>
      <c r="L5" s="2"/>
    </row>
    <row r="6" customFormat="false" ht="15.75" hidden="false" customHeight="true" outlineLevel="0" collapsed="false">
      <c r="B6" s="32"/>
      <c r="C6" s="32"/>
      <c r="D6" s="33"/>
      <c r="E6" s="34" t="n">
        <v>0</v>
      </c>
      <c r="F6" s="32"/>
      <c r="G6" s="33"/>
      <c r="H6" s="32"/>
      <c r="I6" s="32"/>
      <c r="J6" s="32"/>
      <c r="K6" s="33"/>
      <c r="L6" s="13"/>
    </row>
    <row r="7" customFormat="false" ht="15.75" hidden="false" customHeight="true" outlineLevel="0" collapsed="false">
      <c r="B7" s="36"/>
      <c r="C7" s="36"/>
      <c r="D7" s="4"/>
      <c r="E7" s="37" t="n">
        <v>0</v>
      </c>
      <c r="F7" s="36"/>
      <c r="G7" s="4"/>
      <c r="H7" s="36"/>
      <c r="I7" s="36"/>
      <c r="J7" s="36"/>
      <c r="K7" s="4"/>
      <c r="L7" s="5"/>
    </row>
    <row r="8" customFormat="false" ht="15.75" hidden="false" customHeight="true" outlineLevel="0" collapsed="false">
      <c r="B8" s="32"/>
      <c r="C8" s="32"/>
      <c r="D8" s="33"/>
      <c r="E8" s="34" t="n">
        <v>0</v>
      </c>
      <c r="F8" s="32"/>
      <c r="G8" s="33"/>
      <c r="H8" s="32"/>
      <c r="I8" s="32"/>
      <c r="J8" s="32"/>
      <c r="K8" s="33"/>
      <c r="L8" s="13"/>
    </row>
    <row r="9" customFormat="false" ht="15.75" hidden="false" customHeight="true" outlineLevel="0" collapsed="false">
      <c r="B9" s="36"/>
      <c r="C9" s="36"/>
      <c r="D9" s="4"/>
      <c r="E9" s="37" t="n">
        <v>0</v>
      </c>
      <c r="F9" s="36"/>
      <c r="G9" s="4"/>
      <c r="H9" s="36"/>
      <c r="I9" s="36"/>
      <c r="J9" s="36"/>
      <c r="K9" s="4"/>
      <c r="L9" s="5"/>
    </row>
    <row r="10" customFormat="false" ht="15.75" hidden="false" customHeight="true" outlineLevel="0" collapsed="false">
      <c r="B10" s="32"/>
      <c r="C10" s="32"/>
      <c r="D10" s="33"/>
      <c r="E10" s="34" t="n">
        <v>0</v>
      </c>
      <c r="F10" s="32"/>
      <c r="G10" s="33"/>
      <c r="H10" s="32"/>
      <c r="I10" s="32"/>
      <c r="J10" s="32"/>
      <c r="K10" s="33"/>
      <c r="L10" s="13"/>
    </row>
    <row r="11" customFormat="false" ht="15.75" hidden="false" customHeight="true" outlineLevel="0" collapsed="false">
      <c r="B11" s="36"/>
      <c r="C11" s="36"/>
      <c r="D11" s="4"/>
      <c r="E11" s="37" t="n">
        <v>0</v>
      </c>
      <c r="F11" s="36"/>
      <c r="G11" s="4"/>
      <c r="H11" s="36"/>
      <c r="I11" s="36"/>
      <c r="J11" s="36"/>
      <c r="K11" s="4"/>
      <c r="L11" s="5"/>
    </row>
    <row r="12" customFormat="false" ht="15.75" hidden="false" customHeight="true" outlineLevel="0" collapsed="false">
      <c r="B12" s="32"/>
      <c r="C12" s="32"/>
      <c r="D12" s="33"/>
      <c r="E12" s="34" t="n">
        <v>0</v>
      </c>
      <c r="F12" s="32"/>
      <c r="G12" s="33"/>
      <c r="H12" s="32"/>
      <c r="I12" s="32"/>
      <c r="J12" s="32"/>
      <c r="K12" s="33"/>
      <c r="L12" s="13"/>
    </row>
    <row r="13" customFormat="false" ht="15.75" hidden="false" customHeight="true" outlineLevel="0" collapsed="false">
      <c r="B13" s="36"/>
      <c r="C13" s="36"/>
      <c r="D13" s="4"/>
      <c r="E13" s="37" t="n">
        <v>0</v>
      </c>
      <c r="F13" s="36"/>
      <c r="G13" s="4"/>
      <c r="H13" s="36"/>
      <c r="I13" s="36"/>
      <c r="J13" s="36"/>
      <c r="K13" s="4"/>
      <c r="L13" s="5"/>
    </row>
    <row r="14" customFormat="false" ht="15.75" hidden="false" customHeight="true" outlineLevel="0" collapsed="false">
      <c r="B14" s="32"/>
      <c r="C14" s="32"/>
      <c r="D14" s="33"/>
      <c r="E14" s="34" t="n">
        <v>0</v>
      </c>
      <c r="F14" s="32"/>
      <c r="G14" s="33"/>
      <c r="H14" s="32"/>
      <c r="I14" s="32"/>
      <c r="J14" s="32"/>
      <c r="K14" s="33"/>
      <c r="L14" s="13"/>
    </row>
    <row r="15" customFormat="false" ht="15.75" hidden="false" customHeight="true" outlineLevel="0" collapsed="false">
      <c r="B15" s="36"/>
      <c r="C15" s="36"/>
      <c r="D15" s="4"/>
      <c r="E15" s="37" t="n">
        <v>0</v>
      </c>
      <c r="F15" s="36"/>
      <c r="G15" s="4"/>
      <c r="H15" s="36"/>
      <c r="I15" s="36"/>
      <c r="J15" s="36"/>
      <c r="K15" s="4"/>
      <c r="L15" s="5"/>
    </row>
    <row r="16" customFormat="false" ht="15.75" hidden="false" customHeight="true" outlineLevel="0" collapsed="false">
      <c r="B16" s="32"/>
      <c r="C16" s="32"/>
      <c r="D16" s="33"/>
      <c r="E16" s="34" t="n">
        <v>0</v>
      </c>
      <c r="F16" s="32"/>
      <c r="G16" s="33"/>
      <c r="H16" s="32"/>
      <c r="I16" s="32"/>
      <c r="J16" s="32"/>
      <c r="K16" s="33"/>
      <c r="L16" s="13"/>
    </row>
    <row r="17" customFormat="false" ht="15.75" hidden="false" customHeight="true" outlineLevel="0" collapsed="false">
      <c r="B17" s="36"/>
      <c r="C17" s="36"/>
      <c r="D17" s="4"/>
      <c r="E17" s="37" t="n">
        <v>0</v>
      </c>
      <c r="F17" s="36"/>
      <c r="G17" s="4"/>
      <c r="H17" s="36"/>
      <c r="I17" s="36"/>
      <c r="J17" s="36"/>
      <c r="K17" s="4"/>
      <c r="L17" s="5"/>
    </row>
    <row r="18" customFormat="false" ht="15.75" hidden="false" customHeight="true" outlineLevel="0" collapsed="false">
      <c r="B18" s="32"/>
      <c r="C18" s="32"/>
      <c r="D18" s="33"/>
      <c r="E18" s="34" t="n">
        <v>0</v>
      </c>
      <c r="F18" s="32"/>
      <c r="G18" s="33"/>
      <c r="H18" s="32"/>
      <c r="I18" s="32"/>
      <c r="J18" s="32"/>
      <c r="K18" s="33"/>
      <c r="L18" s="13"/>
    </row>
    <row r="19" customFormat="false" ht="15.75" hidden="false" customHeight="true" outlineLevel="0" collapsed="false">
      <c r="B19" s="36"/>
      <c r="C19" s="36"/>
      <c r="D19" s="4"/>
      <c r="E19" s="37" t="n">
        <v>0</v>
      </c>
      <c r="F19" s="36"/>
      <c r="G19" s="4"/>
      <c r="H19" s="36"/>
      <c r="I19" s="36"/>
      <c r="J19" s="36"/>
      <c r="K19" s="4"/>
      <c r="L19" s="5"/>
    </row>
    <row r="20" customFormat="false" ht="15.75" hidden="false" customHeight="true" outlineLevel="0" collapsed="false">
      <c r="B20" s="32"/>
      <c r="C20" s="32"/>
      <c r="D20" s="33"/>
      <c r="E20" s="34" t="n">
        <v>0</v>
      </c>
      <c r="F20" s="32"/>
      <c r="G20" s="33"/>
      <c r="H20" s="32"/>
      <c r="I20" s="32"/>
      <c r="J20" s="32"/>
      <c r="K20" s="33"/>
      <c r="L20" s="13"/>
    </row>
    <row r="21" customFormat="false" ht="15.75" hidden="false" customHeight="true" outlineLevel="0" collapsed="false">
      <c r="B21" s="36"/>
      <c r="C21" s="36"/>
      <c r="D21" s="4"/>
      <c r="E21" s="37" t="n">
        <v>0</v>
      </c>
      <c r="F21" s="36"/>
      <c r="G21" s="4"/>
      <c r="H21" s="36"/>
      <c r="I21" s="36"/>
      <c r="J21" s="36"/>
      <c r="K21" s="4"/>
      <c r="L21" s="5"/>
    </row>
    <row r="22" customFormat="false" ht="15.75" hidden="false" customHeight="true" outlineLevel="0" collapsed="false">
      <c r="B22" s="32"/>
      <c r="C22" s="32"/>
      <c r="D22" s="33"/>
      <c r="E22" s="34" t="n">
        <v>0</v>
      </c>
      <c r="F22" s="32"/>
      <c r="G22" s="33"/>
      <c r="H22" s="32"/>
      <c r="I22" s="32"/>
      <c r="J22" s="32"/>
      <c r="K22" s="33"/>
      <c r="L22" s="13"/>
    </row>
    <row r="23" customFormat="false" ht="15.75" hidden="false" customHeight="true" outlineLevel="0" collapsed="false">
      <c r="B23" s="36"/>
      <c r="C23" s="36"/>
      <c r="D23" s="4"/>
      <c r="E23" s="37" t="n">
        <v>0</v>
      </c>
      <c r="F23" s="36"/>
      <c r="G23" s="4"/>
      <c r="H23" s="36"/>
      <c r="I23" s="36"/>
      <c r="J23" s="36"/>
      <c r="K23" s="4"/>
      <c r="L23" s="5"/>
    </row>
    <row r="24" customFormat="false" ht="15.75" hidden="false" customHeight="true" outlineLevel="0" collapsed="false">
      <c r="B24" s="32"/>
      <c r="C24" s="32"/>
      <c r="D24" s="33"/>
      <c r="E24" s="34" t="n">
        <v>0</v>
      </c>
      <c r="F24" s="32"/>
      <c r="G24" s="33"/>
      <c r="H24" s="32"/>
      <c r="I24" s="32"/>
      <c r="J24" s="32"/>
      <c r="K24" s="33"/>
      <c r="L24" s="13"/>
    </row>
    <row r="25" customFormat="false" ht="15.75" hidden="false" customHeight="true" outlineLevel="0" collapsed="false">
      <c r="B25" s="36"/>
      <c r="C25" s="36"/>
      <c r="D25" s="4"/>
      <c r="E25" s="37" t="n">
        <v>0</v>
      </c>
      <c r="F25" s="36"/>
      <c r="G25" s="4"/>
      <c r="H25" s="36"/>
      <c r="I25" s="36"/>
      <c r="J25" s="36"/>
      <c r="K25" s="4"/>
      <c r="L25" s="5"/>
    </row>
    <row r="26" customFormat="false" ht="15.75" hidden="false" customHeight="true" outlineLevel="0" collapsed="false">
      <c r="B26" s="32"/>
      <c r="C26" s="32"/>
      <c r="D26" s="33"/>
      <c r="E26" s="34" t="n">
        <v>0</v>
      </c>
      <c r="F26" s="32"/>
      <c r="G26" s="33"/>
      <c r="H26" s="32"/>
      <c r="I26" s="32"/>
      <c r="J26" s="32"/>
      <c r="K26" s="33"/>
      <c r="L26" s="13"/>
    </row>
    <row r="27" customFormat="false" ht="15.75" hidden="false" customHeight="true" outlineLevel="0" collapsed="false">
      <c r="B27" s="36"/>
      <c r="C27" s="36"/>
      <c r="D27" s="4"/>
      <c r="E27" s="37" t="n">
        <v>0</v>
      </c>
      <c r="F27" s="36"/>
      <c r="G27" s="4"/>
      <c r="H27" s="36"/>
      <c r="I27" s="36"/>
      <c r="J27" s="36"/>
      <c r="K27" s="4"/>
      <c r="L27" s="5"/>
    </row>
    <row r="28" customFormat="false" ht="15.75" hidden="false" customHeight="true" outlineLevel="0" collapsed="false">
      <c r="B28" s="32"/>
      <c r="C28" s="32"/>
      <c r="D28" s="33"/>
      <c r="E28" s="34" t="n">
        <v>0</v>
      </c>
      <c r="F28" s="32"/>
      <c r="G28" s="33"/>
      <c r="H28" s="32"/>
      <c r="I28" s="32"/>
      <c r="J28" s="32"/>
      <c r="K28" s="33"/>
      <c r="L28" s="13"/>
    </row>
    <row r="29" customFormat="false" ht="15.75" hidden="false" customHeight="true" outlineLevel="0" collapsed="false">
      <c r="B29" s="36"/>
      <c r="C29" s="36"/>
      <c r="D29" s="4"/>
      <c r="E29" s="37" t="n">
        <v>0</v>
      </c>
      <c r="F29" s="36"/>
      <c r="G29" s="4"/>
      <c r="H29" s="36"/>
      <c r="I29" s="36"/>
      <c r="J29" s="36"/>
      <c r="K29" s="4"/>
      <c r="L29" s="5"/>
    </row>
    <row r="30" customFormat="false" ht="15.75" hidden="false" customHeight="true" outlineLevel="0" collapsed="false">
      <c r="B30" s="32"/>
      <c r="C30" s="32"/>
      <c r="D30" s="33"/>
      <c r="E30" s="34" t="n">
        <v>0</v>
      </c>
      <c r="F30" s="32"/>
      <c r="G30" s="33"/>
      <c r="H30" s="32"/>
      <c r="I30" s="32"/>
      <c r="J30" s="32"/>
      <c r="K30" s="33"/>
      <c r="L30" s="13"/>
    </row>
    <row r="31" customFormat="false" ht="15.75" hidden="false" customHeight="true" outlineLevel="0" collapsed="false">
      <c r="B31" s="36"/>
      <c r="C31" s="36"/>
      <c r="D31" s="4"/>
      <c r="E31" s="37" t="n">
        <v>0</v>
      </c>
      <c r="F31" s="36"/>
      <c r="G31" s="4"/>
      <c r="H31" s="36"/>
      <c r="I31" s="36"/>
      <c r="J31" s="36"/>
      <c r="K31" s="4"/>
      <c r="L31" s="5"/>
    </row>
    <row r="32" customFormat="false" ht="15.75" hidden="false" customHeight="true" outlineLevel="0" collapsed="false">
      <c r="B32" s="32"/>
      <c r="C32" s="32"/>
      <c r="D32" s="33"/>
      <c r="E32" s="34" t="n">
        <v>0</v>
      </c>
      <c r="F32" s="32"/>
      <c r="G32" s="33"/>
      <c r="H32" s="32"/>
      <c r="I32" s="32"/>
      <c r="J32" s="32"/>
      <c r="K32" s="33"/>
      <c r="L32" s="13"/>
    </row>
    <row r="33" customFormat="false" ht="15.75" hidden="false" customHeight="true" outlineLevel="0" collapsed="false">
      <c r="B33" s="36"/>
      <c r="C33" s="36"/>
      <c r="D33" s="4"/>
      <c r="E33" s="37" t="n">
        <v>0</v>
      </c>
      <c r="F33" s="36"/>
      <c r="G33" s="4"/>
      <c r="H33" s="36"/>
      <c r="I33" s="36"/>
      <c r="J33" s="36"/>
      <c r="K33" s="4"/>
      <c r="L33" s="5"/>
    </row>
    <row r="34" customFormat="false" ht="15.75" hidden="false" customHeight="true" outlineLevel="0" collapsed="false">
      <c r="B34" s="32"/>
      <c r="C34" s="32"/>
      <c r="D34" s="33"/>
      <c r="E34" s="34" t="n">
        <v>0</v>
      </c>
      <c r="F34" s="32"/>
      <c r="G34" s="33"/>
      <c r="H34" s="32"/>
      <c r="I34" s="32"/>
      <c r="J34" s="32"/>
      <c r="K34" s="33"/>
      <c r="L34" s="13"/>
    </row>
    <row r="35" customFormat="false" ht="15.75" hidden="false" customHeight="true" outlineLevel="0" collapsed="false">
      <c r="B35" s="36"/>
      <c r="C35" s="36"/>
      <c r="D35" s="4"/>
      <c r="E35" s="37" t="n">
        <v>0</v>
      </c>
      <c r="F35" s="36"/>
      <c r="G35" s="4"/>
      <c r="H35" s="36"/>
      <c r="I35" s="36"/>
      <c r="J35" s="36"/>
      <c r="K35" s="4"/>
      <c r="L35" s="5"/>
    </row>
    <row r="36" customFormat="false" ht="15.75" hidden="false" customHeight="true" outlineLevel="0" collapsed="false">
      <c r="B36" s="32"/>
      <c r="C36" s="32"/>
      <c r="D36" s="33"/>
      <c r="E36" s="34" t="n">
        <v>0</v>
      </c>
      <c r="F36" s="32"/>
      <c r="G36" s="33"/>
      <c r="H36" s="32"/>
      <c r="I36" s="32"/>
      <c r="J36" s="32"/>
      <c r="K36" s="33"/>
      <c r="L36" s="13"/>
    </row>
    <row r="37" customFormat="false" ht="15.75" hidden="false" customHeight="true" outlineLevel="0" collapsed="false">
      <c r="B37" s="36"/>
      <c r="C37" s="36"/>
      <c r="D37" s="4"/>
      <c r="E37" s="37" t="n">
        <v>0</v>
      </c>
      <c r="F37" s="36"/>
      <c r="G37" s="4"/>
      <c r="H37" s="36"/>
      <c r="I37" s="36"/>
      <c r="J37" s="36"/>
      <c r="K37" s="4"/>
      <c r="L37" s="5"/>
    </row>
    <row r="38" customFormat="false" ht="15.75" hidden="false" customHeight="true" outlineLevel="0" collapsed="false">
      <c r="B38" s="32"/>
      <c r="C38" s="32"/>
      <c r="D38" s="33"/>
      <c r="E38" s="34" t="n">
        <v>0</v>
      </c>
      <c r="F38" s="32"/>
      <c r="G38" s="33"/>
      <c r="H38" s="32"/>
      <c r="I38" s="32"/>
      <c r="J38" s="32"/>
      <c r="K38" s="33"/>
      <c r="L38" s="13"/>
    </row>
    <row r="39" customFormat="false" ht="15.75" hidden="false" customHeight="true" outlineLevel="0" collapsed="false">
      <c r="B39" s="36"/>
      <c r="C39" s="36"/>
      <c r="D39" s="4"/>
      <c r="E39" s="37" t="n">
        <v>0</v>
      </c>
      <c r="F39" s="36"/>
      <c r="G39" s="4"/>
      <c r="H39" s="36"/>
      <c r="I39" s="36"/>
      <c r="J39" s="36"/>
      <c r="K39" s="4"/>
      <c r="L39" s="5"/>
    </row>
    <row r="40" customFormat="false" ht="15.75" hidden="false" customHeight="true" outlineLevel="0" collapsed="false">
      <c r="B40" s="32"/>
      <c r="C40" s="32"/>
      <c r="D40" s="33"/>
      <c r="E40" s="34" t="n">
        <v>0</v>
      </c>
      <c r="F40" s="32"/>
      <c r="G40" s="33"/>
      <c r="H40" s="32"/>
      <c r="I40" s="32"/>
      <c r="J40" s="32"/>
      <c r="K40" s="33"/>
      <c r="L40" s="13"/>
    </row>
    <row r="41" customFormat="false" ht="15.75" hidden="false" customHeight="true" outlineLevel="0" collapsed="false">
      <c r="B41" s="36"/>
      <c r="C41" s="36"/>
      <c r="D41" s="4"/>
      <c r="E41" s="37" t="n">
        <v>0</v>
      </c>
      <c r="F41" s="36"/>
      <c r="G41" s="4"/>
      <c r="H41" s="36"/>
      <c r="I41" s="36"/>
      <c r="J41" s="36"/>
      <c r="K41" s="4"/>
      <c r="L41" s="5"/>
    </row>
    <row r="42" customFormat="false" ht="15.75" hidden="false" customHeight="true" outlineLevel="0" collapsed="false">
      <c r="B42" s="32"/>
      <c r="C42" s="32"/>
      <c r="D42" s="33"/>
      <c r="E42" s="34" t="n">
        <v>0</v>
      </c>
      <c r="F42" s="32"/>
      <c r="G42" s="33"/>
      <c r="H42" s="32"/>
      <c r="I42" s="32"/>
      <c r="J42" s="32"/>
      <c r="K42" s="33"/>
      <c r="L42" s="13"/>
    </row>
    <row r="43" customFormat="false" ht="15.75" hidden="false" customHeight="true" outlineLevel="0" collapsed="false">
      <c r="B43" s="36"/>
      <c r="C43" s="36"/>
      <c r="D43" s="4"/>
      <c r="E43" s="37" t="n">
        <v>0</v>
      </c>
      <c r="F43" s="36"/>
      <c r="G43" s="4"/>
      <c r="H43" s="36"/>
      <c r="I43" s="36"/>
      <c r="J43" s="36"/>
      <c r="K43" s="4"/>
      <c r="L43" s="5"/>
    </row>
    <row r="44" customFormat="false" ht="15.75" hidden="false" customHeight="true" outlineLevel="0" collapsed="false">
      <c r="B44" s="32"/>
      <c r="C44" s="32"/>
      <c r="D44" s="33"/>
      <c r="E44" s="34" t="n">
        <v>0</v>
      </c>
      <c r="F44" s="32"/>
      <c r="G44" s="33"/>
      <c r="H44" s="32"/>
      <c r="I44" s="32"/>
      <c r="J44" s="32"/>
      <c r="K44" s="33"/>
      <c r="L44" s="13"/>
    </row>
    <row r="45" customFormat="false" ht="15.75" hidden="false" customHeight="true" outlineLevel="0" collapsed="false">
      <c r="B45" s="36"/>
      <c r="C45" s="36"/>
      <c r="D45" s="4"/>
      <c r="E45" s="37" t="n">
        <v>0</v>
      </c>
      <c r="F45" s="36"/>
      <c r="G45" s="4"/>
      <c r="H45" s="36"/>
      <c r="I45" s="36"/>
      <c r="J45" s="36"/>
      <c r="K45" s="4"/>
      <c r="L45" s="5"/>
    </row>
    <row r="46" customFormat="false" ht="15.75" hidden="false" customHeight="true" outlineLevel="0" collapsed="false">
      <c r="B46" s="32"/>
      <c r="C46" s="32"/>
      <c r="D46" s="33"/>
      <c r="E46" s="34" t="n">
        <v>0</v>
      </c>
      <c r="F46" s="32"/>
      <c r="G46" s="33"/>
      <c r="H46" s="32"/>
      <c r="I46" s="32"/>
      <c r="J46" s="32"/>
      <c r="K46" s="33"/>
      <c r="L46" s="13"/>
    </row>
    <row r="47" customFormat="false" ht="15.75" hidden="false" customHeight="true" outlineLevel="0" collapsed="false">
      <c r="B47" s="36"/>
      <c r="C47" s="36"/>
      <c r="D47" s="4"/>
      <c r="E47" s="37" t="n">
        <v>0</v>
      </c>
      <c r="F47" s="36"/>
      <c r="G47" s="4"/>
      <c r="H47" s="36"/>
      <c r="I47" s="36"/>
      <c r="J47" s="36"/>
      <c r="K47" s="4"/>
      <c r="L47" s="5"/>
    </row>
    <row r="48" customFormat="false" ht="15.75" hidden="false" customHeight="true" outlineLevel="0" collapsed="false">
      <c r="B48" s="32"/>
      <c r="C48" s="32"/>
      <c r="D48" s="33"/>
      <c r="E48" s="34" t="n">
        <v>0</v>
      </c>
      <c r="F48" s="32"/>
      <c r="G48" s="33"/>
      <c r="H48" s="32"/>
      <c r="I48" s="32"/>
      <c r="J48" s="32"/>
      <c r="K48" s="33"/>
      <c r="L48" s="13"/>
    </row>
    <row r="49" customFormat="false" ht="15.75" hidden="false" customHeight="true" outlineLevel="0" collapsed="false">
      <c r="B49" s="36"/>
      <c r="C49" s="36"/>
      <c r="D49" s="4"/>
      <c r="E49" s="37" t="n">
        <v>0</v>
      </c>
      <c r="F49" s="36"/>
      <c r="G49" s="4"/>
      <c r="H49" s="36"/>
      <c r="I49" s="36"/>
      <c r="J49" s="36"/>
      <c r="K49" s="4"/>
      <c r="L49" s="5"/>
    </row>
    <row r="50" customFormat="false" ht="15.75" hidden="false" customHeight="true" outlineLevel="0" collapsed="false">
      <c r="B50" s="32"/>
      <c r="C50" s="32"/>
      <c r="D50" s="33"/>
      <c r="E50" s="34" t="n">
        <v>0</v>
      </c>
      <c r="F50" s="32"/>
      <c r="G50" s="33"/>
      <c r="H50" s="32"/>
      <c r="I50" s="32"/>
      <c r="J50" s="32"/>
      <c r="K50" s="33"/>
      <c r="L50" s="13"/>
    </row>
    <row r="51" customFormat="false" ht="15.75" hidden="false" customHeight="true" outlineLevel="0" collapsed="false">
      <c r="B51" s="36"/>
      <c r="C51" s="36"/>
      <c r="D51" s="4"/>
      <c r="E51" s="37" t="n">
        <v>0</v>
      </c>
      <c r="F51" s="36"/>
      <c r="G51" s="4"/>
      <c r="H51" s="36"/>
      <c r="I51" s="36"/>
      <c r="J51" s="36"/>
      <c r="K51" s="4"/>
      <c r="L51" s="5"/>
    </row>
    <row r="52" customFormat="false" ht="15.75" hidden="false" customHeight="true" outlineLevel="0" collapsed="false">
      <c r="B52" s="32"/>
      <c r="C52" s="32"/>
      <c r="D52" s="33"/>
      <c r="E52" s="34" t="n">
        <v>0</v>
      </c>
      <c r="F52" s="32"/>
      <c r="G52" s="33"/>
      <c r="H52" s="32"/>
      <c r="I52" s="32"/>
      <c r="J52" s="32"/>
      <c r="K52" s="33"/>
      <c r="L52" s="13"/>
    </row>
    <row r="53" customFormat="false" ht="15.75" hidden="false" customHeight="true" outlineLevel="0" collapsed="false">
      <c r="B53" s="36"/>
      <c r="C53" s="36"/>
      <c r="D53" s="4"/>
      <c r="E53" s="37" t="n">
        <v>0</v>
      </c>
      <c r="F53" s="36"/>
      <c r="G53" s="4"/>
      <c r="H53" s="36"/>
      <c r="I53" s="36"/>
      <c r="J53" s="36"/>
      <c r="K53" s="4"/>
      <c r="L53" s="5"/>
    </row>
    <row r="54" customFormat="false" ht="15.75" hidden="false" customHeight="true" outlineLevel="0" collapsed="false">
      <c r="B54" s="32"/>
      <c r="C54" s="32"/>
      <c r="D54" s="33"/>
      <c r="E54" s="34" t="n">
        <v>0</v>
      </c>
      <c r="F54" s="32"/>
      <c r="G54" s="33"/>
      <c r="H54" s="32"/>
      <c r="I54" s="32"/>
      <c r="J54" s="32"/>
      <c r="K54" s="33"/>
      <c r="L54" s="13"/>
    </row>
    <row r="55" customFormat="false" ht="15.75" hidden="false" customHeight="true" outlineLevel="0" collapsed="false">
      <c r="B55" s="36"/>
      <c r="C55" s="36"/>
      <c r="D55" s="4"/>
      <c r="E55" s="37" t="n">
        <v>0</v>
      </c>
      <c r="F55" s="36"/>
      <c r="G55" s="4"/>
      <c r="H55" s="36"/>
      <c r="I55" s="36"/>
      <c r="J55" s="36"/>
      <c r="K55" s="4"/>
      <c r="L55" s="5"/>
    </row>
    <row r="56" customFormat="false" ht="15.75" hidden="false" customHeight="true" outlineLevel="0" collapsed="false">
      <c r="B56" s="32"/>
      <c r="C56" s="32"/>
      <c r="D56" s="33"/>
      <c r="E56" s="34" t="n">
        <v>0</v>
      </c>
      <c r="F56" s="32"/>
      <c r="G56" s="33"/>
      <c r="H56" s="32"/>
      <c r="I56" s="32"/>
      <c r="J56" s="32"/>
      <c r="K56" s="33"/>
      <c r="L56" s="13"/>
    </row>
    <row r="57" customFormat="false" ht="15.75" hidden="false" customHeight="true" outlineLevel="0" collapsed="false">
      <c r="B57" s="36"/>
      <c r="C57" s="36"/>
      <c r="D57" s="4"/>
      <c r="E57" s="37" t="n">
        <v>0</v>
      </c>
      <c r="F57" s="36"/>
      <c r="G57" s="4"/>
      <c r="H57" s="36"/>
      <c r="I57" s="36"/>
      <c r="J57" s="36"/>
      <c r="K57" s="4"/>
      <c r="L57" s="5"/>
    </row>
    <row r="58" customFormat="false" ht="15.75" hidden="false" customHeight="true" outlineLevel="0" collapsed="false">
      <c r="B58" s="32"/>
      <c r="C58" s="32"/>
      <c r="D58" s="33"/>
      <c r="E58" s="34" t="n">
        <v>0</v>
      </c>
      <c r="F58" s="32"/>
      <c r="G58" s="33"/>
      <c r="H58" s="32"/>
      <c r="I58" s="32"/>
      <c r="J58" s="32"/>
      <c r="K58" s="33"/>
      <c r="L58" s="13"/>
    </row>
    <row r="59" customFormat="false" ht="15.75" hidden="false" customHeight="true" outlineLevel="0" collapsed="false">
      <c r="B59" s="36"/>
      <c r="C59" s="36"/>
      <c r="D59" s="4"/>
      <c r="E59" s="37" t="n">
        <v>0</v>
      </c>
      <c r="F59" s="36"/>
      <c r="G59" s="4"/>
      <c r="H59" s="36"/>
      <c r="I59" s="36"/>
      <c r="J59" s="36"/>
      <c r="K59" s="4"/>
      <c r="L59" s="5"/>
    </row>
    <row r="60" customFormat="false" ht="15.75" hidden="false" customHeight="true" outlineLevel="0" collapsed="false">
      <c r="B60" s="32"/>
      <c r="C60" s="32"/>
      <c r="D60" s="33"/>
      <c r="E60" s="34" t="n">
        <v>0</v>
      </c>
      <c r="F60" s="32"/>
      <c r="G60" s="33"/>
      <c r="H60" s="32"/>
      <c r="I60" s="32"/>
      <c r="J60" s="32"/>
      <c r="K60" s="33"/>
      <c r="L60" s="13"/>
    </row>
    <row r="61" customFormat="false" ht="15.75" hidden="false" customHeight="true" outlineLevel="0" collapsed="false">
      <c r="B61" s="36"/>
      <c r="C61" s="36"/>
      <c r="D61" s="4"/>
      <c r="E61" s="37" t="n">
        <v>0</v>
      </c>
      <c r="F61" s="36"/>
      <c r="G61" s="4"/>
      <c r="H61" s="36"/>
      <c r="I61" s="36"/>
      <c r="J61" s="36"/>
      <c r="K61" s="4"/>
      <c r="L61" s="5"/>
    </row>
    <row r="62" customFormat="false" ht="15.75" hidden="false" customHeight="true" outlineLevel="0" collapsed="false">
      <c r="B62" s="32"/>
      <c r="C62" s="32"/>
      <c r="D62" s="33"/>
      <c r="E62" s="34" t="n">
        <v>0</v>
      </c>
      <c r="F62" s="32"/>
      <c r="G62" s="33"/>
      <c r="H62" s="32"/>
      <c r="I62" s="32"/>
      <c r="J62" s="32"/>
      <c r="K62" s="33"/>
      <c r="L62" s="13"/>
    </row>
    <row r="63" customFormat="false" ht="15.75" hidden="false" customHeight="true" outlineLevel="0" collapsed="false">
      <c r="B63" s="36"/>
      <c r="C63" s="36"/>
      <c r="D63" s="4"/>
      <c r="E63" s="37" t="n">
        <v>0</v>
      </c>
      <c r="F63" s="36"/>
      <c r="G63" s="4"/>
      <c r="H63" s="36"/>
      <c r="I63" s="36"/>
      <c r="J63" s="36"/>
      <c r="K63" s="4"/>
      <c r="L63" s="5"/>
    </row>
    <row r="64" customFormat="false" ht="15.75" hidden="false" customHeight="true" outlineLevel="0" collapsed="false">
      <c r="B64" s="32"/>
      <c r="C64" s="32"/>
      <c r="D64" s="33"/>
      <c r="E64" s="34" t="n">
        <v>0</v>
      </c>
      <c r="F64" s="32"/>
      <c r="G64" s="33"/>
      <c r="H64" s="32"/>
      <c r="I64" s="32"/>
      <c r="J64" s="32"/>
      <c r="K64" s="33"/>
      <c r="L64" s="13"/>
    </row>
    <row r="65" customFormat="false" ht="15.75" hidden="false" customHeight="true" outlineLevel="0" collapsed="false">
      <c r="B65" s="36"/>
      <c r="C65" s="36"/>
      <c r="D65" s="4"/>
      <c r="E65" s="37" t="n">
        <v>0</v>
      </c>
      <c r="F65" s="36"/>
      <c r="G65" s="4"/>
      <c r="H65" s="36"/>
      <c r="I65" s="36"/>
      <c r="J65" s="36"/>
      <c r="K65" s="4"/>
      <c r="L65" s="5"/>
    </row>
    <row r="66" customFormat="false" ht="15.75" hidden="false" customHeight="true" outlineLevel="0" collapsed="false">
      <c r="B66" s="32"/>
      <c r="C66" s="32"/>
      <c r="D66" s="33"/>
      <c r="E66" s="34" t="n">
        <v>0</v>
      </c>
      <c r="F66" s="32"/>
      <c r="G66" s="33"/>
      <c r="H66" s="32"/>
      <c r="I66" s="32"/>
      <c r="J66" s="32"/>
      <c r="K66" s="33"/>
      <c r="L66" s="13"/>
    </row>
    <row r="67" customFormat="false" ht="15.75" hidden="false" customHeight="true" outlineLevel="0" collapsed="false">
      <c r="B67" s="36"/>
      <c r="C67" s="36"/>
      <c r="D67" s="4"/>
      <c r="E67" s="37" t="n">
        <v>0</v>
      </c>
      <c r="F67" s="36"/>
      <c r="G67" s="4"/>
      <c r="H67" s="36"/>
      <c r="I67" s="36"/>
      <c r="J67" s="36"/>
      <c r="K67" s="4"/>
      <c r="L67" s="5"/>
    </row>
    <row r="68" customFormat="false" ht="15.75" hidden="false" customHeight="true" outlineLevel="0" collapsed="false">
      <c r="B68" s="32"/>
      <c r="C68" s="32"/>
      <c r="D68" s="33"/>
      <c r="E68" s="34" t="n">
        <v>0</v>
      </c>
      <c r="F68" s="32"/>
      <c r="G68" s="33"/>
      <c r="H68" s="32"/>
      <c r="I68" s="32"/>
      <c r="J68" s="32"/>
      <c r="K68" s="33"/>
      <c r="L68" s="13"/>
    </row>
    <row r="69" customFormat="false" ht="15.75" hidden="false" customHeight="true" outlineLevel="0" collapsed="false">
      <c r="B69" s="36"/>
      <c r="C69" s="36"/>
      <c r="D69" s="4"/>
      <c r="E69" s="37" t="n">
        <v>0</v>
      </c>
      <c r="F69" s="36"/>
      <c r="G69" s="4"/>
      <c r="H69" s="36"/>
      <c r="I69" s="36"/>
      <c r="J69" s="36"/>
      <c r="K69" s="4"/>
      <c r="L69" s="5"/>
    </row>
    <row r="70" customFormat="false" ht="15.75" hidden="false" customHeight="true" outlineLevel="0" collapsed="false">
      <c r="B70" s="32"/>
      <c r="C70" s="32"/>
      <c r="D70" s="33"/>
      <c r="E70" s="34" t="n">
        <v>0</v>
      </c>
      <c r="F70" s="32"/>
      <c r="G70" s="33"/>
      <c r="H70" s="32"/>
      <c r="I70" s="32"/>
      <c r="J70" s="32"/>
      <c r="K70" s="33"/>
      <c r="L70" s="13"/>
    </row>
    <row r="71" customFormat="false" ht="15.75" hidden="false" customHeight="true" outlineLevel="0" collapsed="false">
      <c r="B71" s="36"/>
      <c r="C71" s="36"/>
      <c r="D71" s="4"/>
      <c r="E71" s="37" t="n">
        <v>0</v>
      </c>
      <c r="F71" s="36"/>
      <c r="G71" s="4"/>
      <c r="H71" s="36"/>
      <c r="I71" s="36"/>
      <c r="J71" s="36"/>
      <c r="K71" s="4"/>
      <c r="L71" s="5"/>
    </row>
    <row r="72" customFormat="false" ht="15.75" hidden="false" customHeight="true" outlineLevel="0" collapsed="false">
      <c r="B72" s="32"/>
      <c r="C72" s="32"/>
      <c r="D72" s="33"/>
      <c r="E72" s="34" t="n">
        <v>0</v>
      </c>
      <c r="F72" s="32"/>
      <c r="G72" s="33"/>
      <c r="H72" s="32"/>
      <c r="I72" s="32"/>
      <c r="J72" s="32"/>
      <c r="K72" s="33"/>
      <c r="L72" s="13"/>
    </row>
    <row r="73" customFormat="false" ht="15.75" hidden="false" customHeight="true" outlineLevel="0" collapsed="false">
      <c r="B73" s="36"/>
      <c r="C73" s="36"/>
      <c r="D73" s="4"/>
      <c r="E73" s="37" t="n">
        <v>0</v>
      </c>
      <c r="F73" s="36"/>
      <c r="G73" s="4"/>
      <c r="H73" s="36"/>
      <c r="I73" s="36"/>
      <c r="J73" s="36"/>
      <c r="K73" s="4"/>
      <c r="L73" s="5"/>
    </row>
    <row r="74" customFormat="false" ht="15.75" hidden="false" customHeight="true" outlineLevel="0" collapsed="false">
      <c r="B74" s="32"/>
      <c r="C74" s="32"/>
      <c r="D74" s="33"/>
      <c r="E74" s="34" t="n">
        <v>0</v>
      </c>
      <c r="F74" s="32"/>
      <c r="G74" s="33"/>
      <c r="H74" s="32"/>
      <c r="I74" s="32"/>
      <c r="J74" s="32"/>
      <c r="K74" s="33"/>
      <c r="L74" s="13"/>
    </row>
    <row r="75" customFormat="false" ht="15.75" hidden="false" customHeight="true" outlineLevel="0" collapsed="false">
      <c r="B75" s="36"/>
      <c r="C75" s="36"/>
      <c r="D75" s="4"/>
      <c r="E75" s="37" t="n">
        <v>0</v>
      </c>
      <c r="F75" s="36"/>
      <c r="G75" s="4"/>
      <c r="H75" s="36"/>
      <c r="I75" s="36"/>
      <c r="J75" s="36"/>
      <c r="K75" s="4"/>
      <c r="L75" s="5"/>
    </row>
    <row r="76" customFormat="false" ht="15.75" hidden="false" customHeight="true" outlineLevel="0" collapsed="false">
      <c r="B76" s="32"/>
      <c r="C76" s="32"/>
      <c r="D76" s="33"/>
      <c r="E76" s="34" t="n">
        <v>0</v>
      </c>
      <c r="F76" s="32"/>
      <c r="G76" s="33"/>
      <c r="H76" s="32"/>
      <c r="I76" s="32"/>
      <c r="J76" s="32"/>
      <c r="K76" s="33"/>
      <c r="L76" s="13"/>
    </row>
    <row r="77" customFormat="false" ht="15.75" hidden="false" customHeight="true" outlineLevel="0" collapsed="false">
      <c r="B77" s="36"/>
      <c r="C77" s="36"/>
      <c r="D77" s="4"/>
      <c r="E77" s="37" t="n">
        <v>0</v>
      </c>
      <c r="F77" s="36"/>
      <c r="G77" s="4"/>
      <c r="H77" s="36"/>
      <c r="I77" s="36"/>
      <c r="J77" s="36"/>
      <c r="K77" s="4"/>
      <c r="L77" s="5"/>
    </row>
    <row r="78" customFormat="false" ht="15.75" hidden="false" customHeight="true" outlineLevel="0" collapsed="false">
      <c r="B78" s="32"/>
      <c r="C78" s="32"/>
      <c r="D78" s="33"/>
      <c r="E78" s="34" t="n">
        <v>0</v>
      </c>
      <c r="F78" s="32"/>
      <c r="G78" s="33"/>
      <c r="H78" s="32"/>
      <c r="I78" s="32"/>
      <c r="J78" s="32"/>
      <c r="K78" s="33"/>
      <c r="L78" s="13"/>
    </row>
    <row r="79" customFormat="false" ht="15.75" hidden="false" customHeight="true" outlineLevel="0" collapsed="false">
      <c r="B79" s="36"/>
      <c r="C79" s="36"/>
      <c r="D79" s="4"/>
      <c r="E79" s="37" t="n">
        <v>0</v>
      </c>
      <c r="F79" s="36"/>
      <c r="G79" s="4"/>
      <c r="H79" s="36"/>
      <c r="I79" s="36"/>
      <c r="J79" s="36"/>
      <c r="K79" s="4"/>
      <c r="L79" s="5"/>
    </row>
    <row r="80" customFormat="false" ht="15.75" hidden="false" customHeight="true" outlineLevel="0" collapsed="false">
      <c r="B80" s="32"/>
      <c r="C80" s="32"/>
      <c r="D80" s="33"/>
      <c r="E80" s="34" t="n">
        <v>0</v>
      </c>
      <c r="F80" s="32"/>
      <c r="G80" s="33"/>
      <c r="H80" s="32"/>
      <c r="I80" s="32"/>
      <c r="J80" s="32"/>
      <c r="K80" s="33"/>
      <c r="L80" s="13"/>
    </row>
    <row r="81" customFormat="false" ht="15.75" hidden="false" customHeight="true" outlineLevel="0" collapsed="false">
      <c r="B81" s="36"/>
      <c r="C81" s="36"/>
      <c r="D81" s="4"/>
      <c r="E81" s="37" t="n">
        <v>0</v>
      </c>
      <c r="F81" s="36"/>
      <c r="G81" s="4"/>
      <c r="H81" s="36"/>
      <c r="I81" s="36"/>
      <c r="J81" s="36"/>
      <c r="K81" s="4"/>
      <c r="L81" s="5"/>
    </row>
    <row r="82" customFormat="false" ht="15.75" hidden="false" customHeight="true" outlineLevel="0" collapsed="false">
      <c r="B82" s="32"/>
      <c r="C82" s="32"/>
      <c r="D82" s="33"/>
      <c r="E82" s="34" t="n">
        <v>0</v>
      </c>
      <c r="F82" s="32"/>
      <c r="G82" s="33"/>
      <c r="H82" s="32"/>
      <c r="I82" s="32"/>
      <c r="J82" s="32"/>
      <c r="K82" s="33"/>
      <c r="L82" s="13"/>
    </row>
    <row r="83" customFormat="false" ht="15.75" hidden="false" customHeight="true" outlineLevel="0" collapsed="false">
      <c r="B83" s="36"/>
      <c r="C83" s="36"/>
      <c r="D83" s="4"/>
      <c r="E83" s="37" t="n">
        <v>0</v>
      </c>
      <c r="F83" s="36"/>
      <c r="G83" s="4"/>
      <c r="H83" s="36"/>
      <c r="I83" s="36"/>
      <c r="J83" s="36"/>
      <c r="K83" s="4"/>
      <c r="L83" s="5"/>
    </row>
    <row r="84" customFormat="false" ht="15.75" hidden="false" customHeight="true" outlineLevel="0" collapsed="false">
      <c r="B84" s="32"/>
      <c r="C84" s="32"/>
      <c r="D84" s="33"/>
      <c r="E84" s="34" t="n">
        <v>0</v>
      </c>
      <c r="F84" s="32"/>
      <c r="G84" s="33"/>
      <c r="H84" s="32"/>
      <c r="I84" s="32"/>
      <c r="J84" s="32"/>
      <c r="K84" s="33"/>
      <c r="L84" s="13"/>
    </row>
    <row r="85" customFormat="false" ht="15.75" hidden="false" customHeight="true" outlineLevel="0" collapsed="false">
      <c r="B85" s="36"/>
      <c r="C85" s="36"/>
      <c r="D85" s="4"/>
      <c r="E85" s="37" t="n">
        <v>0</v>
      </c>
      <c r="F85" s="36"/>
      <c r="G85" s="4"/>
      <c r="H85" s="36"/>
      <c r="I85" s="36"/>
      <c r="J85" s="36"/>
      <c r="K85" s="4"/>
      <c r="L85" s="5"/>
    </row>
    <row r="86" customFormat="false" ht="15.75" hidden="false" customHeight="true" outlineLevel="0" collapsed="false">
      <c r="B86" s="32"/>
      <c r="C86" s="32"/>
      <c r="D86" s="33"/>
      <c r="E86" s="34" t="n">
        <v>0</v>
      </c>
      <c r="F86" s="32"/>
      <c r="G86" s="33"/>
      <c r="H86" s="32"/>
      <c r="I86" s="32"/>
      <c r="J86" s="32"/>
      <c r="K86" s="33"/>
      <c r="L86" s="13"/>
    </row>
    <row r="87" customFormat="false" ht="15.75" hidden="false" customHeight="true" outlineLevel="0" collapsed="false">
      <c r="B87" s="36"/>
      <c r="C87" s="36"/>
      <c r="D87" s="4"/>
      <c r="E87" s="37" t="n">
        <v>0</v>
      </c>
      <c r="F87" s="36"/>
      <c r="G87" s="4"/>
      <c r="H87" s="36"/>
      <c r="I87" s="36"/>
      <c r="J87" s="36"/>
      <c r="K87" s="4"/>
      <c r="L87" s="5"/>
    </row>
    <row r="88" customFormat="false" ht="15.75" hidden="false" customHeight="true" outlineLevel="0" collapsed="false">
      <c r="B88" s="32"/>
      <c r="C88" s="32"/>
      <c r="D88" s="33"/>
      <c r="E88" s="34" t="n">
        <v>0</v>
      </c>
      <c r="F88" s="32"/>
      <c r="G88" s="33"/>
      <c r="H88" s="32"/>
      <c r="I88" s="32"/>
      <c r="J88" s="32"/>
      <c r="K88" s="33"/>
      <c r="L88" s="13"/>
    </row>
    <row r="89" customFormat="false" ht="15.75" hidden="false" customHeight="true" outlineLevel="0" collapsed="false">
      <c r="B89" s="36"/>
      <c r="C89" s="36"/>
      <c r="D89" s="4"/>
      <c r="E89" s="37" t="n">
        <v>0</v>
      </c>
      <c r="F89" s="36"/>
      <c r="G89" s="4"/>
      <c r="H89" s="36"/>
      <c r="I89" s="36"/>
      <c r="J89" s="36"/>
      <c r="K89" s="4"/>
      <c r="L89" s="5"/>
    </row>
    <row r="90" customFormat="false" ht="15.75" hidden="false" customHeight="true" outlineLevel="0" collapsed="false">
      <c r="B90" s="32"/>
      <c r="C90" s="32"/>
      <c r="D90" s="33"/>
      <c r="E90" s="34" t="n">
        <v>0</v>
      </c>
      <c r="F90" s="32"/>
      <c r="G90" s="33"/>
      <c r="H90" s="32"/>
      <c r="I90" s="32"/>
      <c r="J90" s="32"/>
      <c r="K90" s="33"/>
      <c r="L90" s="13"/>
    </row>
    <row r="91" customFormat="false" ht="15.75" hidden="false" customHeight="true" outlineLevel="0" collapsed="false">
      <c r="B91" s="36"/>
      <c r="C91" s="36"/>
      <c r="D91" s="4"/>
      <c r="E91" s="37" t="n">
        <v>0</v>
      </c>
      <c r="F91" s="36"/>
      <c r="G91" s="4"/>
      <c r="H91" s="36"/>
      <c r="I91" s="36"/>
      <c r="J91" s="36"/>
      <c r="K91" s="4"/>
      <c r="L91" s="5"/>
    </row>
    <row r="92" customFormat="false" ht="15.75" hidden="false" customHeight="true" outlineLevel="0" collapsed="false">
      <c r="B92" s="32"/>
      <c r="C92" s="32"/>
      <c r="D92" s="33"/>
      <c r="E92" s="34" t="n">
        <v>0</v>
      </c>
      <c r="F92" s="32"/>
      <c r="G92" s="33"/>
      <c r="H92" s="32"/>
      <c r="I92" s="32"/>
      <c r="J92" s="32"/>
      <c r="K92" s="33"/>
      <c r="L92" s="13"/>
    </row>
    <row r="93" customFormat="false" ht="15.75" hidden="false" customHeight="true" outlineLevel="0" collapsed="false">
      <c r="B93" s="36"/>
      <c r="C93" s="36"/>
      <c r="D93" s="4"/>
      <c r="E93" s="37" t="n">
        <v>0</v>
      </c>
      <c r="F93" s="36"/>
      <c r="G93" s="4"/>
      <c r="H93" s="36"/>
      <c r="I93" s="36"/>
      <c r="J93" s="36"/>
      <c r="K93" s="4"/>
      <c r="L93" s="5"/>
    </row>
    <row r="94" customFormat="false" ht="15.75" hidden="false" customHeight="true" outlineLevel="0" collapsed="false">
      <c r="B94" s="32"/>
      <c r="C94" s="32"/>
      <c r="D94" s="33"/>
      <c r="E94" s="34" t="n">
        <v>0</v>
      </c>
      <c r="F94" s="32"/>
      <c r="G94" s="33"/>
      <c r="H94" s="32"/>
      <c r="I94" s="32"/>
      <c r="J94" s="32"/>
      <c r="K94" s="33"/>
      <c r="L94" s="13"/>
    </row>
    <row r="95" customFormat="false" ht="15.75" hidden="false" customHeight="true" outlineLevel="0" collapsed="false">
      <c r="B95" s="36"/>
      <c r="C95" s="36"/>
      <c r="D95" s="4"/>
      <c r="E95" s="37" t="n">
        <v>0</v>
      </c>
      <c r="F95" s="36"/>
      <c r="G95" s="4"/>
      <c r="H95" s="36"/>
      <c r="I95" s="36"/>
      <c r="J95" s="36"/>
      <c r="K95" s="4"/>
      <c r="L95" s="5"/>
    </row>
    <row r="96" customFormat="false" ht="15.75" hidden="false" customHeight="true" outlineLevel="0" collapsed="false">
      <c r="B96" s="32"/>
      <c r="C96" s="32"/>
      <c r="D96" s="33"/>
      <c r="E96" s="34" t="n">
        <v>0</v>
      </c>
      <c r="F96" s="32"/>
      <c r="G96" s="33"/>
      <c r="H96" s="32"/>
      <c r="I96" s="32"/>
      <c r="J96" s="32"/>
      <c r="K96" s="33"/>
      <c r="L96" s="13"/>
    </row>
    <row r="97" customFormat="false" ht="15.75" hidden="false" customHeight="true" outlineLevel="0" collapsed="false">
      <c r="B97" s="36"/>
      <c r="C97" s="36"/>
      <c r="D97" s="4"/>
      <c r="E97" s="37" t="n">
        <v>0</v>
      </c>
      <c r="F97" s="36"/>
      <c r="G97" s="4"/>
      <c r="H97" s="36"/>
      <c r="I97" s="36"/>
      <c r="J97" s="36"/>
      <c r="K97" s="4"/>
      <c r="L97" s="5"/>
    </row>
    <row r="98" customFormat="false" ht="15.75" hidden="false" customHeight="true" outlineLevel="0" collapsed="false">
      <c r="B98" s="32"/>
      <c r="C98" s="32"/>
      <c r="D98" s="33"/>
      <c r="E98" s="34" t="n">
        <v>0</v>
      </c>
      <c r="F98" s="32"/>
      <c r="G98" s="33"/>
      <c r="H98" s="32"/>
      <c r="I98" s="32"/>
      <c r="J98" s="32"/>
      <c r="K98" s="33"/>
      <c r="L98" s="13"/>
    </row>
    <row r="99" customFormat="false" ht="15.75" hidden="false" customHeight="true" outlineLevel="0" collapsed="false">
      <c r="B99" s="36"/>
      <c r="C99" s="36"/>
      <c r="D99" s="4"/>
      <c r="E99" s="37" t="n">
        <v>0</v>
      </c>
      <c r="F99" s="36"/>
      <c r="G99" s="4"/>
      <c r="H99" s="36"/>
      <c r="I99" s="36"/>
      <c r="J99" s="36"/>
      <c r="K99" s="4"/>
      <c r="L99" s="5"/>
    </row>
    <row r="100" customFormat="false" ht="15.75" hidden="false" customHeight="true" outlineLevel="0" collapsed="false">
      <c r="B100" s="32"/>
      <c r="C100" s="32"/>
      <c r="D100" s="33"/>
      <c r="E100" s="34" t="n">
        <v>0</v>
      </c>
      <c r="F100" s="32"/>
      <c r="G100" s="33"/>
      <c r="H100" s="32"/>
      <c r="I100" s="32"/>
      <c r="J100" s="32"/>
      <c r="K100" s="33"/>
      <c r="L100" s="13"/>
    </row>
    <row r="101" customFormat="false" ht="15.75" hidden="false" customHeight="true" outlineLevel="0" collapsed="false">
      <c r="B101" s="36"/>
      <c r="C101" s="36"/>
      <c r="D101" s="4"/>
      <c r="E101" s="37" t="n">
        <v>0</v>
      </c>
      <c r="F101" s="36"/>
      <c r="G101" s="4"/>
      <c r="H101" s="36"/>
      <c r="I101" s="36"/>
      <c r="J101" s="36"/>
      <c r="K101" s="4"/>
      <c r="L101" s="5"/>
    </row>
    <row r="102" customFormat="false" ht="15.75" hidden="false" customHeight="true" outlineLevel="0" collapsed="false">
      <c r="B102" s="32"/>
      <c r="C102" s="32"/>
      <c r="D102" s="33"/>
      <c r="E102" s="34" t="n">
        <v>0</v>
      </c>
      <c r="F102" s="32"/>
      <c r="G102" s="33"/>
      <c r="H102" s="32"/>
      <c r="I102" s="32"/>
      <c r="J102" s="32"/>
      <c r="K102" s="33"/>
      <c r="L102" s="13"/>
    </row>
    <row r="103" customFormat="false" ht="15.75" hidden="false" customHeight="true" outlineLevel="0" collapsed="false">
      <c r="B103" s="36"/>
      <c r="C103" s="36"/>
      <c r="D103" s="4"/>
      <c r="E103" s="37" t="n">
        <v>0</v>
      </c>
      <c r="F103" s="36"/>
      <c r="G103" s="4"/>
      <c r="H103" s="36"/>
      <c r="I103" s="36"/>
      <c r="J103" s="36"/>
      <c r="K103" s="4"/>
      <c r="L103" s="5"/>
    </row>
    <row r="104" customFormat="false" ht="15.75" hidden="false" customHeight="true" outlineLevel="0" collapsed="false">
      <c r="B104" s="32"/>
      <c r="C104" s="32"/>
      <c r="D104" s="33"/>
      <c r="E104" s="34" t="n">
        <v>0</v>
      </c>
      <c r="F104" s="32"/>
      <c r="G104" s="33"/>
      <c r="H104" s="32"/>
      <c r="I104" s="32"/>
      <c r="J104" s="32"/>
      <c r="K104" s="33"/>
      <c r="L104" s="13"/>
    </row>
    <row r="105" customFormat="false" ht="15.75" hidden="false" customHeight="true" outlineLevel="0" collapsed="false">
      <c r="B105" s="36"/>
      <c r="C105" s="36"/>
      <c r="D105" s="4"/>
      <c r="E105" s="37" t="n">
        <v>0</v>
      </c>
      <c r="F105" s="36"/>
      <c r="G105" s="4"/>
      <c r="H105" s="36"/>
      <c r="I105" s="36"/>
      <c r="J105" s="36"/>
      <c r="K105" s="4"/>
      <c r="L105" s="5"/>
    </row>
    <row r="106" customFormat="false" ht="15.75" hidden="false" customHeight="true" outlineLevel="0" collapsed="false">
      <c r="B106" s="32"/>
      <c r="C106" s="32"/>
      <c r="D106" s="33"/>
      <c r="E106" s="34" t="n">
        <v>0</v>
      </c>
      <c r="F106" s="32"/>
      <c r="G106" s="33"/>
      <c r="H106" s="32"/>
      <c r="I106" s="32"/>
      <c r="J106" s="32"/>
      <c r="K106" s="33"/>
      <c r="L106" s="13"/>
    </row>
    <row r="107" customFormat="false" ht="15.75" hidden="false" customHeight="true" outlineLevel="0" collapsed="false">
      <c r="B107" s="36"/>
      <c r="C107" s="36"/>
      <c r="D107" s="4"/>
      <c r="E107" s="37" t="n">
        <v>0</v>
      </c>
      <c r="F107" s="36"/>
      <c r="G107" s="4"/>
      <c r="H107" s="36"/>
      <c r="I107" s="36"/>
      <c r="J107" s="36"/>
      <c r="K107" s="4"/>
      <c r="L107" s="5"/>
    </row>
    <row r="108" customFormat="false" ht="15.75" hidden="false" customHeight="true" outlineLevel="0" collapsed="false">
      <c r="B108" s="32"/>
      <c r="C108" s="32"/>
      <c r="D108" s="33"/>
      <c r="E108" s="34" t="n">
        <v>0</v>
      </c>
      <c r="F108" s="32"/>
      <c r="G108" s="33"/>
      <c r="H108" s="32"/>
      <c r="I108" s="32"/>
      <c r="J108" s="32"/>
      <c r="K108" s="33"/>
      <c r="L108" s="13"/>
    </row>
    <row r="109" customFormat="false" ht="15.75" hidden="false" customHeight="true" outlineLevel="0" collapsed="false">
      <c r="B109" s="36"/>
      <c r="C109" s="36"/>
      <c r="D109" s="4"/>
      <c r="E109" s="37" t="n">
        <v>0</v>
      </c>
      <c r="F109" s="36"/>
      <c r="G109" s="4"/>
      <c r="H109" s="36"/>
      <c r="I109" s="36"/>
      <c r="J109" s="36"/>
      <c r="K109" s="4"/>
      <c r="L109" s="5"/>
    </row>
    <row r="110" customFormat="false" ht="15.75" hidden="false" customHeight="true" outlineLevel="0" collapsed="false">
      <c r="B110" s="32"/>
      <c r="C110" s="32"/>
      <c r="D110" s="33"/>
      <c r="E110" s="34" t="n">
        <v>0</v>
      </c>
      <c r="F110" s="32"/>
      <c r="G110" s="33"/>
      <c r="H110" s="32"/>
      <c r="I110" s="32"/>
      <c r="J110" s="32"/>
      <c r="K110" s="33"/>
      <c r="L110" s="13"/>
    </row>
    <row r="111" customFormat="false" ht="15.75" hidden="false" customHeight="true" outlineLevel="0" collapsed="false">
      <c r="B111" s="36"/>
      <c r="C111" s="36"/>
      <c r="D111" s="4"/>
      <c r="E111" s="37" t="n">
        <v>0</v>
      </c>
      <c r="F111" s="36"/>
      <c r="G111" s="4"/>
      <c r="H111" s="36"/>
      <c r="I111" s="36"/>
      <c r="J111" s="36"/>
      <c r="K111" s="4"/>
      <c r="L111" s="5"/>
    </row>
    <row r="112" customFormat="false" ht="15.75" hidden="false" customHeight="true" outlineLevel="0" collapsed="false">
      <c r="B112" s="32"/>
      <c r="C112" s="32"/>
      <c r="D112" s="33"/>
      <c r="E112" s="34" t="n">
        <v>0</v>
      </c>
      <c r="F112" s="32"/>
      <c r="G112" s="33"/>
      <c r="H112" s="32"/>
      <c r="I112" s="32"/>
      <c r="J112" s="32"/>
      <c r="K112" s="33"/>
      <c r="L112" s="13"/>
    </row>
    <row r="113" customFormat="false" ht="15.75" hidden="false" customHeight="true" outlineLevel="0" collapsed="false">
      <c r="B113" s="36"/>
      <c r="C113" s="36"/>
      <c r="D113" s="4"/>
      <c r="E113" s="37" t="n">
        <v>0</v>
      </c>
      <c r="F113" s="36"/>
      <c r="G113" s="4"/>
      <c r="H113" s="36"/>
      <c r="I113" s="36"/>
      <c r="J113" s="36"/>
      <c r="K113" s="4"/>
      <c r="L113" s="5"/>
    </row>
    <row r="114" customFormat="false" ht="15.75" hidden="false" customHeight="true" outlineLevel="0" collapsed="false">
      <c r="B114" s="32"/>
      <c r="C114" s="32"/>
      <c r="D114" s="33"/>
      <c r="E114" s="34" t="n">
        <v>0</v>
      </c>
      <c r="F114" s="32"/>
      <c r="G114" s="33"/>
      <c r="H114" s="32"/>
      <c r="I114" s="32"/>
      <c r="J114" s="32"/>
      <c r="K114" s="33"/>
      <c r="L114" s="13"/>
    </row>
    <row r="115" customFormat="false" ht="15.75" hidden="false" customHeight="true" outlineLevel="0" collapsed="false">
      <c r="B115" s="36"/>
      <c r="C115" s="36"/>
      <c r="D115" s="4"/>
      <c r="E115" s="37" t="n">
        <v>0</v>
      </c>
      <c r="F115" s="36"/>
      <c r="G115" s="4"/>
      <c r="H115" s="36"/>
      <c r="I115" s="36"/>
      <c r="J115" s="36"/>
      <c r="K115" s="4"/>
      <c r="L115" s="5"/>
    </row>
    <row r="116" customFormat="false" ht="15.75" hidden="false" customHeight="true" outlineLevel="0" collapsed="false">
      <c r="B116" s="32"/>
      <c r="C116" s="32"/>
      <c r="D116" s="33"/>
      <c r="E116" s="34" t="n">
        <v>0</v>
      </c>
      <c r="F116" s="32"/>
      <c r="G116" s="33"/>
      <c r="H116" s="32"/>
      <c r="I116" s="32"/>
      <c r="J116" s="32"/>
      <c r="K116" s="33"/>
      <c r="L116" s="13"/>
    </row>
    <row r="117" customFormat="false" ht="15.75" hidden="false" customHeight="true" outlineLevel="0" collapsed="false">
      <c r="B117" s="36"/>
      <c r="C117" s="36"/>
      <c r="D117" s="4"/>
      <c r="E117" s="37" t="n">
        <v>0</v>
      </c>
      <c r="F117" s="36"/>
      <c r="G117" s="4"/>
      <c r="H117" s="36"/>
      <c r="I117" s="36"/>
      <c r="J117" s="36"/>
      <c r="K117" s="4"/>
      <c r="L117" s="5"/>
    </row>
    <row r="118" customFormat="false" ht="15.75" hidden="false" customHeight="true" outlineLevel="0" collapsed="false">
      <c r="B118" s="32"/>
      <c r="C118" s="32"/>
      <c r="D118" s="33"/>
      <c r="E118" s="34" t="n">
        <v>0</v>
      </c>
      <c r="F118" s="32"/>
      <c r="G118" s="33"/>
      <c r="H118" s="32"/>
      <c r="I118" s="32"/>
      <c r="J118" s="32"/>
      <c r="K118" s="33"/>
      <c r="L118" s="13"/>
    </row>
    <row r="119" customFormat="false" ht="15.75" hidden="false" customHeight="true" outlineLevel="0" collapsed="false">
      <c r="B119" s="36"/>
      <c r="C119" s="36"/>
      <c r="D119" s="4"/>
      <c r="E119" s="37" t="n">
        <v>0</v>
      </c>
      <c r="F119" s="36"/>
      <c r="G119" s="4"/>
      <c r="H119" s="36"/>
      <c r="I119" s="36"/>
      <c r="J119" s="36"/>
      <c r="K119" s="4"/>
      <c r="L119" s="5"/>
    </row>
    <row r="120" customFormat="false" ht="15.75" hidden="false" customHeight="true" outlineLevel="0" collapsed="false">
      <c r="B120" s="32"/>
      <c r="C120" s="32"/>
      <c r="D120" s="33"/>
      <c r="E120" s="34" t="n">
        <v>0</v>
      </c>
      <c r="F120" s="32"/>
      <c r="G120" s="33"/>
      <c r="H120" s="32"/>
      <c r="I120" s="32"/>
      <c r="J120" s="32"/>
      <c r="K120" s="33"/>
      <c r="L120" s="13"/>
    </row>
    <row r="121" customFormat="false" ht="15.75" hidden="false" customHeight="true" outlineLevel="0" collapsed="false">
      <c r="B121" s="36"/>
      <c r="C121" s="36"/>
      <c r="D121" s="4"/>
      <c r="E121" s="37" t="n">
        <v>0</v>
      </c>
      <c r="F121" s="36"/>
      <c r="G121" s="4"/>
      <c r="H121" s="36"/>
      <c r="I121" s="36"/>
      <c r="J121" s="36"/>
      <c r="K121" s="4"/>
      <c r="L121" s="5"/>
    </row>
    <row r="122" customFormat="false" ht="15.75" hidden="false" customHeight="true" outlineLevel="0" collapsed="false">
      <c r="B122" s="32"/>
      <c r="C122" s="32"/>
      <c r="D122" s="33"/>
      <c r="E122" s="34" t="n">
        <v>0</v>
      </c>
      <c r="F122" s="32"/>
      <c r="G122" s="33"/>
      <c r="H122" s="32"/>
      <c r="I122" s="32"/>
      <c r="J122" s="32"/>
      <c r="K122" s="33"/>
      <c r="L122" s="13"/>
    </row>
    <row r="123" customFormat="false" ht="15.75" hidden="false" customHeight="true" outlineLevel="0" collapsed="false">
      <c r="B123" s="36"/>
      <c r="C123" s="36"/>
      <c r="D123" s="4"/>
      <c r="E123" s="37" t="n">
        <v>0</v>
      </c>
      <c r="F123" s="36"/>
      <c r="G123" s="4"/>
      <c r="H123" s="36"/>
      <c r="I123" s="36"/>
      <c r="J123" s="36"/>
      <c r="K123" s="4"/>
      <c r="L123" s="5"/>
    </row>
    <row r="124" customFormat="false" ht="15.75" hidden="false" customHeight="true" outlineLevel="0" collapsed="false">
      <c r="B124" s="32"/>
      <c r="C124" s="32"/>
      <c r="D124" s="33"/>
      <c r="E124" s="34" t="n">
        <v>0</v>
      </c>
      <c r="F124" s="32"/>
      <c r="G124" s="33"/>
      <c r="H124" s="32"/>
      <c r="I124" s="32"/>
      <c r="J124" s="32"/>
      <c r="K124" s="33"/>
      <c r="L124" s="13"/>
    </row>
    <row r="125" customFormat="false" ht="15.75" hidden="false" customHeight="true" outlineLevel="0" collapsed="false">
      <c r="B125" s="36"/>
      <c r="C125" s="36"/>
      <c r="D125" s="4"/>
      <c r="E125" s="37" t="n">
        <v>0</v>
      </c>
      <c r="F125" s="36"/>
      <c r="G125" s="4"/>
      <c r="H125" s="36"/>
      <c r="I125" s="36"/>
      <c r="J125" s="36"/>
      <c r="K125" s="4"/>
      <c r="L125" s="5"/>
    </row>
    <row r="126" customFormat="false" ht="15.75" hidden="false" customHeight="true" outlineLevel="0" collapsed="false">
      <c r="B126" s="32"/>
      <c r="C126" s="32"/>
      <c r="D126" s="33"/>
      <c r="E126" s="34" t="n">
        <v>0</v>
      </c>
      <c r="F126" s="32"/>
      <c r="G126" s="33"/>
      <c r="H126" s="32"/>
      <c r="I126" s="32"/>
      <c r="J126" s="32"/>
      <c r="K126" s="33"/>
      <c r="L126" s="13"/>
    </row>
    <row r="127" customFormat="false" ht="15.75" hidden="false" customHeight="true" outlineLevel="0" collapsed="false">
      <c r="B127" s="36"/>
      <c r="C127" s="36"/>
      <c r="D127" s="4"/>
      <c r="E127" s="37" t="n">
        <v>0</v>
      </c>
      <c r="F127" s="36"/>
      <c r="G127" s="4"/>
      <c r="H127" s="36"/>
      <c r="I127" s="36"/>
      <c r="J127" s="36"/>
      <c r="K127" s="4"/>
      <c r="L127" s="5"/>
    </row>
    <row r="128" customFormat="false" ht="15.75" hidden="false" customHeight="true" outlineLevel="0" collapsed="false">
      <c r="B128" s="32"/>
      <c r="C128" s="32"/>
      <c r="D128" s="33"/>
      <c r="E128" s="34" t="n">
        <v>0</v>
      </c>
      <c r="F128" s="32"/>
      <c r="G128" s="33"/>
      <c r="H128" s="32"/>
      <c r="I128" s="32"/>
      <c r="J128" s="32"/>
      <c r="K128" s="33"/>
      <c r="L128" s="13"/>
    </row>
    <row r="129" customFormat="false" ht="15.75" hidden="false" customHeight="true" outlineLevel="0" collapsed="false">
      <c r="B129" s="36"/>
      <c r="C129" s="36"/>
      <c r="D129" s="4"/>
      <c r="E129" s="37" t="n">
        <v>0</v>
      </c>
      <c r="F129" s="36"/>
      <c r="G129" s="4"/>
      <c r="H129" s="36"/>
      <c r="I129" s="36"/>
      <c r="J129" s="36"/>
      <c r="K129" s="4"/>
      <c r="L129" s="5"/>
    </row>
    <row r="130" customFormat="false" ht="15.75" hidden="false" customHeight="true" outlineLevel="0" collapsed="false">
      <c r="B130" s="32"/>
      <c r="C130" s="32"/>
      <c r="D130" s="33"/>
      <c r="E130" s="34" t="n">
        <v>0</v>
      </c>
      <c r="F130" s="32"/>
      <c r="G130" s="33"/>
      <c r="H130" s="32"/>
      <c r="I130" s="32"/>
      <c r="J130" s="32"/>
      <c r="K130" s="33"/>
      <c r="L130" s="13"/>
    </row>
    <row r="131" customFormat="false" ht="15.75" hidden="false" customHeight="true" outlineLevel="0" collapsed="false">
      <c r="B131" s="36"/>
      <c r="C131" s="36"/>
      <c r="D131" s="4"/>
      <c r="E131" s="37" t="n">
        <v>0</v>
      </c>
      <c r="F131" s="36"/>
      <c r="G131" s="4"/>
      <c r="H131" s="36"/>
      <c r="I131" s="36"/>
      <c r="J131" s="36"/>
      <c r="K131" s="4"/>
      <c r="L131" s="5"/>
    </row>
    <row r="132" customFormat="false" ht="15.75" hidden="false" customHeight="true" outlineLevel="0" collapsed="false">
      <c r="B132" s="32"/>
      <c r="C132" s="32"/>
      <c r="D132" s="33"/>
      <c r="E132" s="34" t="n">
        <v>0</v>
      </c>
      <c r="F132" s="32"/>
      <c r="G132" s="33"/>
      <c r="H132" s="32"/>
      <c r="I132" s="32"/>
      <c r="J132" s="32"/>
      <c r="K132" s="33"/>
      <c r="L132" s="13"/>
    </row>
    <row r="133" customFormat="false" ht="15.75" hidden="false" customHeight="true" outlineLevel="0" collapsed="false">
      <c r="B133" s="36"/>
      <c r="C133" s="36"/>
      <c r="D133" s="4"/>
      <c r="E133" s="37" t="n">
        <v>0</v>
      </c>
      <c r="F133" s="36"/>
      <c r="G133" s="4"/>
      <c r="H133" s="36"/>
      <c r="I133" s="36"/>
      <c r="J133" s="36"/>
      <c r="K133" s="4"/>
      <c r="L133" s="5"/>
    </row>
    <row r="134" customFormat="false" ht="15.75" hidden="false" customHeight="true" outlineLevel="0" collapsed="false">
      <c r="B134" s="32"/>
      <c r="C134" s="32"/>
      <c r="D134" s="33"/>
      <c r="E134" s="34" t="n">
        <v>0</v>
      </c>
      <c r="F134" s="32"/>
      <c r="G134" s="33"/>
      <c r="H134" s="32"/>
      <c r="I134" s="32"/>
      <c r="J134" s="32"/>
      <c r="K134" s="33"/>
      <c r="L134" s="13"/>
    </row>
    <row r="135" customFormat="false" ht="15.75" hidden="false" customHeight="true" outlineLevel="0" collapsed="false">
      <c r="B135" s="36"/>
      <c r="C135" s="36"/>
      <c r="D135" s="4"/>
      <c r="E135" s="37" t="n">
        <v>0</v>
      </c>
      <c r="F135" s="36"/>
      <c r="G135" s="4"/>
      <c r="H135" s="36"/>
      <c r="I135" s="36"/>
      <c r="J135" s="36"/>
      <c r="K135" s="4"/>
      <c r="L135" s="5"/>
    </row>
    <row r="136" customFormat="false" ht="15.75" hidden="false" customHeight="true" outlineLevel="0" collapsed="false">
      <c r="B136" s="32"/>
      <c r="C136" s="32"/>
      <c r="D136" s="33"/>
      <c r="E136" s="34" t="n">
        <v>0</v>
      </c>
      <c r="F136" s="32"/>
      <c r="G136" s="33"/>
      <c r="H136" s="32"/>
      <c r="I136" s="32"/>
      <c r="J136" s="32"/>
      <c r="K136" s="33"/>
      <c r="L136" s="13"/>
    </row>
    <row r="137" customFormat="false" ht="15.75" hidden="false" customHeight="true" outlineLevel="0" collapsed="false">
      <c r="B137" s="36"/>
      <c r="C137" s="36"/>
      <c r="D137" s="4"/>
      <c r="E137" s="37" t="n">
        <v>0</v>
      </c>
      <c r="F137" s="36"/>
      <c r="G137" s="4"/>
      <c r="H137" s="36"/>
      <c r="I137" s="36"/>
      <c r="J137" s="36"/>
      <c r="K137" s="4"/>
      <c r="L137" s="5"/>
    </row>
    <row r="138" customFormat="false" ht="15.75" hidden="false" customHeight="true" outlineLevel="0" collapsed="false">
      <c r="B138" s="32"/>
      <c r="C138" s="32"/>
      <c r="D138" s="33"/>
      <c r="E138" s="34" t="n">
        <v>0</v>
      </c>
      <c r="F138" s="32"/>
      <c r="G138" s="33"/>
      <c r="H138" s="32"/>
      <c r="I138" s="32"/>
      <c r="J138" s="32"/>
      <c r="K138" s="33"/>
      <c r="L138" s="13"/>
    </row>
    <row r="139" customFormat="false" ht="15.75" hidden="false" customHeight="true" outlineLevel="0" collapsed="false">
      <c r="B139" s="36"/>
      <c r="C139" s="36"/>
      <c r="D139" s="4"/>
      <c r="E139" s="37" t="n">
        <v>0</v>
      </c>
      <c r="F139" s="36"/>
      <c r="G139" s="4"/>
      <c r="H139" s="36"/>
      <c r="I139" s="36"/>
      <c r="J139" s="36"/>
      <c r="K139" s="4"/>
      <c r="L139" s="5"/>
    </row>
    <row r="140" customFormat="false" ht="15.75" hidden="false" customHeight="true" outlineLevel="0" collapsed="false">
      <c r="B140" s="32"/>
      <c r="C140" s="32"/>
      <c r="D140" s="33"/>
      <c r="E140" s="34" t="n">
        <v>0</v>
      </c>
      <c r="F140" s="32"/>
      <c r="G140" s="33"/>
      <c r="H140" s="32"/>
      <c r="I140" s="32"/>
      <c r="J140" s="32"/>
      <c r="K140" s="33"/>
      <c r="L140" s="13"/>
    </row>
    <row r="141" customFormat="false" ht="15.75" hidden="false" customHeight="true" outlineLevel="0" collapsed="false">
      <c r="B141" s="36"/>
      <c r="C141" s="36"/>
      <c r="D141" s="4"/>
      <c r="E141" s="37" t="n">
        <v>0</v>
      </c>
      <c r="F141" s="36"/>
      <c r="G141" s="4"/>
      <c r="H141" s="36"/>
      <c r="I141" s="36"/>
      <c r="J141" s="36"/>
      <c r="K141" s="4"/>
      <c r="L141" s="5"/>
    </row>
    <row r="142" customFormat="false" ht="15.75" hidden="false" customHeight="true" outlineLevel="0" collapsed="false">
      <c r="B142" s="32"/>
      <c r="C142" s="32"/>
      <c r="D142" s="33"/>
      <c r="E142" s="34" t="n">
        <v>0</v>
      </c>
      <c r="F142" s="32"/>
      <c r="G142" s="33"/>
      <c r="H142" s="32"/>
      <c r="I142" s="32"/>
      <c r="J142" s="32"/>
      <c r="K142" s="33"/>
      <c r="L142" s="13"/>
    </row>
    <row r="143" customFormat="false" ht="15.75" hidden="false" customHeight="true" outlineLevel="0" collapsed="false">
      <c r="B143" s="36"/>
      <c r="C143" s="36"/>
      <c r="D143" s="4"/>
      <c r="E143" s="37" t="n">
        <v>0</v>
      </c>
      <c r="F143" s="36"/>
      <c r="G143" s="4"/>
      <c r="H143" s="36"/>
      <c r="I143" s="36"/>
      <c r="J143" s="36"/>
      <c r="K143" s="4"/>
      <c r="L143" s="5"/>
    </row>
    <row r="144" customFormat="false" ht="15.75" hidden="false" customHeight="true" outlineLevel="0" collapsed="false">
      <c r="B144" s="32"/>
      <c r="C144" s="32"/>
      <c r="D144" s="33"/>
      <c r="E144" s="34" t="n">
        <v>0</v>
      </c>
      <c r="F144" s="32"/>
      <c r="G144" s="33"/>
      <c r="H144" s="32"/>
      <c r="I144" s="32"/>
      <c r="J144" s="32"/>
      <c r="K144" s="33"/>
      <c r="L144" s="13"/>
    </row>
    <row r="145" customFormat="false" ht="15.75" hidden="false" customHeight="true" outlineLevel="0" collapsed="false">
      <c r="B145" s="36"/>
      <c r="C145" s="36"/>
      <c r="D145" s="4"/>
      <c r="E145" s="37" t="n">
        <v>0</v>
      </c>
      <c r="F145" s="36"/>
      <c r="G145" s="4"/>
      <c r="H145" s="36"/>
      <c r="I145" s="36"/>
      <c r="J145" s="36"/>
      <c r="K145" s="4"/>
      <c r="L145" s="5"/>
    </row>
    <row r="146" customFormat="false" ht="15.75" hidden="false" customHeight="true" outlineLevel="0" collapsed="false">
      <c r="B146" s="32"/>
      <c r="C146" s="32"/>
      <c r="D146" s="33"/>
      <c r="E146" s="34" t="n">
        <v>0</v>
      </c>
      <c r="F146" s="32"/>
      <c r="G146" s="33"/>
      <c r="H146" s="32"/>
      <c r="I146" s="32"/>
      <c r="J146" s="32"/>
      <c r="K146" s="33"/>
      <c r="L146" s="13"/>
    </row>
    <row r="147" customFormat="false" ht="15.75" hidden="false" customHeight="true" outlineLevel="0" collapsed="false">
      <c r="B147" s="36"/>
      <c r="C147" s="36"/>
      <c r="D147" s="4"/>
      <c r="E147" s="37" t="n">
        <v>0</v>
      </c>
      <c r="F147" s="36"/>
      <c r="G147" s="4"/>
      <c r="H147" s="36"/>
      <c r="I147" s="36"/>
      <c r="J147" s="36"/>
      <c r="K147" s="4"/>
      <c r="L147" s="5"/>
    </row>
    <row r="148" customFormat="false" ht="15.75" hidden="false" customHeight="true" outlineLevel="0" collapsed="false">
      <c r="B148" s="32"/>
      <c r="C148" s="32"/>
      <c r="D148" s="33"/>
      <c r="E148" s="34" t="n">
        <v>0</v>
      </c>
      <c r="F148" s="32"/>
      <c r="G148" s="33"/>
      <c r="H148" s="32"/>
      <c r="I148" s="32"/>
      <c r="J148" s="32"/>
      <c r="K148" s="33"/>
      <c r="L148" s="13"/>
    </row>
    <row r="149" customFormat="false" ht="15.75" hidden="false" customHeight="true" outlineLevel="0" collapsed="false">
      <c r="B149" s="36"/>
      <c r="C149" s="36"/>
      <c r="D149" s="4"/>
      <c r="E149" s="37" t="n">
        <v>0</v>
      </c>
      <c r="F149" s="36"/>
      <c r="G149" s="4"/>
      <c r="H149" s="36"/>
      <c r="I149" s="36"/>
      <c r="J149" s="36"/>
      <c r="K149" s="4"/>
      <c r="L149" s="5"/>
    </row>
    <row r="150" customFormat="false" ht="15.75" hidden="false" customHeight="true" outlineLevel="0" collapsed="false">
      <c r="B150" s="32"/>
      <c r="C150" s="32"/>
      <c r="D150" s="33"/>
      <c r="E150" s="34" t="n">
        <v>0</v>
      </c>
      <c r="F150" s="32"/>
      <c r="G150" s="33"/>
      <c r="H150" s="32"/>
      <c r="I150" s="32"/>
      <c r="J150" s="32"/>
      <c r="K150" s="33"/>
      <c r="L150" s="13"/>
    </row>
    <row r="151" customFormat="false" ht="15.75" hidden="false" customHeight="true" outlineLevel="0" collapsed="false">
      <c r="B151" s="36"/>
      <c r="C151" s="36"/>
      <c r="D151" s="4"/>
      <c r="E151" s="37" t="n">
        <v>0</v>
      </c>
      <c r="F151" s="36"/>
      <c r="G151" s="4"/>
      <c r="H151" s="36"/>
      <c r="I151" s="36"/>
      <c r="J151" s="36"/>
      <c r="K151" s="4"/>
      <c r="L151" s="5"/>
    </row>
    <row r="152" customFormat="false" ht="15.75" hidden="false" customHeight="true" outlineLevel="0" collapsed="false">
      <c r="B152" s="32"/>
      <c r="C152" s="32"/>
      <c r="D152" s="33"/>
      <c r="E152" s="34" t="n">
        <v>0</v>
      </c>
      <c r="F152" s="32"/>
      <c r="G152" s="33"/>
      <c r="H152" s="32"/>
      <c r="I152" s="32"/>
      <c r="J152" s="32"/>
      <c r="K152" s="33"/>
      <c r="L152" s="13"/>
    </row>
    <row r="153" customFormat="false" ht="15.75" hidden="false" customHeight="true" outlineLevel="0" collapsed="false">
      <c r="B153" s="36"/>
      <c r="C153" s="36"/>
      <c r="D153" s="4"/>
      <c r="E153" s="37" t="n">
        <v>0</v>
      </c>
      <c r="F153" s="36"/>
      <c r="G153" s="4"/>
      <c r="H153" s="36"/>
      <c r="I153" s="36"/>
      <c r="J153" s="36"/>
      <c r="K153" s="4"/>
      <c r="L153" s="5"/>
    </row>
    <row r="154" customFormat="false" ht="15.75" hidden="false" customHeight="true" outlineLevel="0" collapsed="false">
      <c r="B154" s="32"/>
      <c r="C154" s="32"/>
      <c r="D154" s="33"/>
      <c r="E154" s="34" t="n">
        <v>0</v>
      </c>
      <c r="F154" s="32"/>
      <c r="G154" s="33"/>
      <c r="H154" s="32"/>
      <c r="I154" s="32"/>
      <c r="J154" s="32"/>
      <c r="K154" s="33"/>
      <c r="L154" s="13"/>
    </row>
    <row r="155" customFormat="false" ht="15.75" hidden="false" customHeight="true" outlineLevel="0" collapsed="false">
      <c r="B155" s="36"/>
      <c r="C155" s="36"/>
      <c r="D155" s="4"/>
      <c r="E155" s="37" t="n">
        <v>0</v>
      </c>
      <c r="F155" s="36"/>
      <c r="G155" s="4"/>
      <c r="H155" s="36"/>
      <c r="I155" s="36"/>
      <c r="J155" s="36"/>
      <c r="K155" s="4"/>
      <c r="L155" s="5"/>
    </row>
    <row r="156" customFormat="false" ht="15.75" hidden="false" customHeight="true" outlineLevel="0" collapsed="false">
      <c r="B156" s="32"/>
      <c r="C156" s="32"/>
      <c r="D156" s="33"/>
      <c r="E156" s="34" t="n">
        <v>0</v>
      </c>
      <c r="F156" s="32"/>
      <c r="G156" s="33"/>
      <c r="H156" s="32"/>
      <c r="I156" s="32"/>
      <c r="J156" s="32"/>
      <c r="K156" s="33"/>
      <c r="L156" s="13"/>
    </row>
    <row r="157" customFormat="false" ht="15.75" hidden="false" customHeight="true" outlineLevel="0" collapsed="false">
      <c r="B157" s="36"/>
      <c r="C157" s="36"/>
      <c r="D157" s="4"/>
      <c r="E157" s="37" t="n">
        <v>0</v>
      </c>
      <c r="F157" s="36"/>
      <c r="G157" s="4"/>
      <c r="H157" s="36"/>
      <c r="I157" s="36"/>
      <c r="J157" s="36"/>
      <c r="K157" s="4"/>
      <c r="L157" s="5"/>
    </row>
    <row r="158" customFormat="false" ht="15.75" hidden="false" customHeight="true" outlineLevel="0" collapsed="false">
      <c r="B158" s="32"/>
      <c r="C158" s="32"/>
      <c r="D158" s="33"/>
      <c r="E158" s="34" t="n">
        <v>0</v>
      </c>
      <c r="F158" s="32"/>
      <c r="G158" s="33"/>
      <c r="H158" s="32"/>
      <c r="I158" s="32"/>
      <c r="J158" s="32"/>
      <c r="K158" s="33"/>
      <c r="L158" s="13"/>
    </row>
    <row r="159" customFormat="false" ht="15.75" hidden="false" customHeight="true" outlineLevel="0" collapsed="false">
      <c r="B159" s="36"/>
      <c r="C159" s="36"/>
      <c r="D159" s="4"/>
      <c r="E159" s="37" t="n">
        <v>0</v>
      </c>
      <c r="F159" s="36"/>
      <c r="G159" s="4"/>
      <c r="H159" s="36"/>
      <c r="I159" s="36"/>
      <c r="J159" s="36"/>
      <c r="K159" s="4"/>
      <c r="L159" s="5"/>
    </row>
    <row r="160" customFormat="false" ht="15.75" hidden="false" customHeight="true" outlineLevel="0" collapsed="false">
      <c r="B160" s="32"/>
      <c r="C160" s="32"/>
      <c r="D160" s="33"/>
      <c r="E160" s="34" t="n">
        <v>0</v>
      </c>
      <c r="F160" s="32"/>
      <c r="G160" s="33"/>
      <c r="H160" s="32"/>
      <c r="I160" s="32"/>
      <c r="J160" s="32"/>
      <c r="K160" s="33"/>
      <c r="L160" s="13"/>
    </row>
    <row r="161" customFormat="false" ht="15.75" hidden="false" customHeight="true" outlineLevel="0" collapsed="false">
      <c r="B161" s="36"/>
      <c r="C161" s="36"/>
      <c r="D161" s="4"/>
      <c r="E161" s="37" t="n">
        <v>0</v>
      </c>
      <c r="F161" s="36"/>
      <c r="G161" s="4"/>
      <c r="H161" s="36"/>
      <c r="I161" s="36"/>
      <c r="J161" s="36"/>
      <c r="K161" s="4"/>
      <c r="L161" s="5"/>
    </row>
    <row r="162" customFormat="false" ht="15.75" hidden="false" customHeight="true" outlineLevel="0" collapsed="false">
      <c r="B162" s="32"/>
      <c r="C162" s="32"/>
      <c r="D162" s="33"/>
      <c r="E162" s="34" t="n">
        <v>0</v>
      </c>
      <c r="F162" s="32"/>
      <c r="G162" s="33"/>
      <c r="H162" s="32"/>
      <c r="I162" s="32"/>
      <c r="J162" s="32"/>
      <c r="K162" s="33"/>
      <c r="L162" s="13"/>
    </row>
    <row r="163" customFormat="false" ht="15.75" hidden="false" customHeight="true" outlineLevel="0" collapsed="false">
      <c r="B163" s="36"/>
      <c r="C163" s="36"/>
      <c r="D163" s="4"/>
      <c r="E163" s="37" t="n">
        <v>0</v>
      </c>
      <c r="F163" s="36"/>
      <c r="G163" s="4"/>
      <c r="H163" s="36"/>
      <c r="I163" s="36"/>
      <c r="J163" s="36"/>
      <c r="K163" s="4"/>
      <c r="L163" s="5"/>
    </row>
    <row r="164" customFormat="false" ht="15.75" hidden="false" customHeight="true" outlineLevel="0" collapsed="false">
      <c r="B164" s="32"/>
      <c r="C164" s="32"/>
      <c r="D164" s="33"/>
      <c r="E164" s="34" t="n">
        <v>0</v>
      </c>
      <c r="F164" s="32"/>
      <c r="G164" s="33"/>
      <c r="H164" s="32"/>
      <c r="I164" s="32"/>
      <c r="J164" s="32"/>
      <c r="K164" s="33"/>
      <c r="L164" s="13"/>
    </row>
    <row r="165" customFormat="false" ht="15.75" hidden="false" customHeight="true" outlineLevel="0" collapsed="false">
      <c r="B165" s="36"/>
      <c r="C165" s="36"/>
      <c r="D165" s="4"/>
      <c r="E165" s="37" t="n">
        <v>0</v>
      </c>
      <c r="F165" s="36"/>
      <c r="G165" s="4"/>
      <c r="H165" s="36"/>
      <c r="I165" s="36"/>
      <c r="J165" s="36"/>
      <c r="K165" s="4"/>
      <c r="L165" s="5"/>
    </row>
    <row r="166" customFormat="false" ht="15.75" hidden="false" customHeight="true" outlineLevel="0" collapsed="false">
      <c r="B166" s="32"/>
      <c r="C166" s="32"/>
      <c r="D166" s="33"/>
      <c r="E166" s="34" t="n">
        <v>0</v>
      </c>
      <c r="F166" s="32"/>
      <c r="G166" s="33"/>
      <c r="H166" s="32"/>
      <c r="I166" s="32"/>
      <c r="J166" s="32"/>
      <c r="K166" s="33"/>
      <c r="L166" s="13"/>
    </row>
    <row r="167" customFormat="false" ht="15.75" hidden="false" customHeight="true" outlineLevel="0" collapsed="false">
      <c r="B167" s="36"/>
      <c r="C167" s="36"/>
      <c r="D167" s="4"/>
      <c r="E167" s="37" t="n">
        <v>0</v>
      </c>
      <c r="F167" s="36"/>
      <c r="G167" s="4"/>
      <c r="H167" s="36"/>
      <c r="I167" s="36"/>
      <c r="J167" s="36"/>
      <c r="K167" s="4"/>
      <c r="L167" s="5"/>
    </row>
    <row r="168" customFormat="false" ht="15.75" hidden="false" customHeight="true" outlineLevel="0" collapsed="false">
      <c r="B168" s="32"/>
      <c r="C168" s="32"/>
      <c r="D168" s="33"/>
      <c r="E168" s="34" t="n">
        <v>0</v>
      </c>
      <c r="F168" s="32"/>
      <c r="G168" s="33"/>
      <c r="H168" s="32"/>
      <c r="I168" s="32"/>
      <c r="J168" s="32"/>
      <c r="K168" s="33"/>
      <c r="L168" s="13"/>
    </row>
    <row r="169" customFormat="false" ht="15.75" hidden="false" customHeight="true" outlineLevel="0" collapsed="false">
      <c r="B169" s="36"/>
      <c r="C169" s="36"/>
      <c r="D169" s="4"/>
      <c r="E169" s="37" t="n">
        <v>0</v>
      </c>
      <c r="F169" s="36"/>
      <c r="G169" s="4"/>
      <c r="H169" s="36"/>
      <c r="I169" s="36"/>
      <c r="J169" s="36"/>
      <c r="K169" s="4"/>
      <c r="L169" s="5"/>
    </row>
    <row r="170" customFormat="false" ht="15.75" hidden="false" customHeight="true" outlineLevel="0" collapsed="false">
      <c r="B170" s="32"/>
      <c r="C170" s="32"/>
      <c r="D170" s="33"/>
      <c r="E170" s="34" t="n">
        <v>0</v>
      </c>
      <c r="F170" s="32"/>
      <c r="G170" s="33"/>
      <c r="H170" s="32"/>
      <c r="I170" s="32"/>
      <c r="J170" s="32"/>
      <c r="K170" s="33"/>
      <c r="L170" s="13"/>
    </row>
    <row r="171" customFormat="false" ht="15.75" hidden="false" customHeight="true" outlineLevel="0" collapsed="false">
      <c r="B171" s="36"/>
      <c r="C171" s="36"/>
      <c r="D171" s="4"/>
      <c r="E171" s="37" t="n">
        <v>0</v>
      </c>
      <c r="F171" s="36"/>
      <c r="G171" s="4"/>
      <c r="H171" s="36"/>
      <c r="I171" s="36"/>
      <c r="J171" s="36"/>
      <c r="K171" s="4"/>
      <c r="L171" s="5"/>
    </row>
    <row r="172" customFormat="false" ht="15.75" hidden="false" customHeight="true" outlineLevel="0" collapsed="false">
      <c r="B172" s="32"/>
      <c r="C172" s="32"/>
      <c r="D172" s="33"/>
      <c r="E172" s="34" t="n">
        <v>0</v>
      </c>
      <c r="F172" s="32"/>
      <c r="G172" s="33"/>
      <c r="H172" s="32"/>
      <c r="I172" s="32"/>
      <c r="J172" s="32"/>
      <c r="K172" s="33"/>
      <c r="L172" s="13"/>
    </row>
    <row r="173" customFormat="false" ht="15.75" hidden="false" customHeight="true" outlineLevel="0" collapsed="false">
      <c r="B173" s="36"/>
      <c r="C173" s="36"/>
      <c r="D173" s="4"/>
      <c r="E173" s="37" t="n">
        <v>0</v>
      </c>
      <c r="F173" s="36"/>
      <c r="G173" s="4"/>
      <c r="H173" s="36"/>
      <c r="I173" s="36"/>
      <c r="J173" s="36"/>
      <c r="K173" s="4"/>
      <c r="L173" s="5"/>
    </row>
    <row r="174" customFormat="false" ht="15.75" hidden="false" customHeight="true" outlineLevel="0" collapsed="false">
      <c r="B174" s="32"/>
      <c r="C174" s="32"/>
      <c r="D174" s="33"/>
      <c r="E174" s="34" t="n">
        <v>0</v>
      </c>
      <c r="F174" s="32"/>
      <c r="G174" s="33"/>
      <c r="H174" s="32"/>
      <c r="I174" s="32"/>
      <c r="J174" s="32"/>
      <c r="K174" s="33"/>
      <c r="L174" s="13"/>
    </row>
    <row r="175" customFormat="false" ht="15.75" hidden="false" customHeight="true" outlineLevel="0" collapsed="false">
      <c r="B175" s="36"/>
      <c r="C175" s="36"/>
      <c r="D175" s="4"/>
      <c r="E175" s="37" t="n">
        <v>0</v>
      </c>
      <c r="F175" s="36"/>
      <c r="G175" s="4"/>
      <c r="H175" s="36"/>
      <c r="I175" s="36"/>
      <c r="J175" s="36"/>
      <c r="K175" s="4"/>
      <c r="L175" s="5"/>
    </row>
    <row r="176" customFormat="false" ht="15.75" hidden="false" customHeight="true" outlineLevel="0" collapsed="false">
      <c r="B176" s="32"/>
      <c r="C176" s="32"/>
      <c r="D176" s="33"/>
      <c r="E176" s="34" t="n">
        <v>0</v>
      </c>
      <c r="F176" s="32"/>
      <c r="G176" s="33"/>
      <c r="H176" s="32"/>
      <c r="I176" s="32"/>
      <c r="J176" s="32"/>
      <c r="K176" s="33"/>
      <c r="L176" s="13"/>
    </row>
    <row r="177" customFormat="false" ht="15.75" hidden="false" customHeight="true" outlineLevel="0" collapsed="false">
      <c r="B177" s="36"/>
      <c r="C177" s="36"/>
      <c r="D177" s="4"/>
      <c r="E177" s="37" t="n">
        <v>0</v>
      </c>
      <c r="F177" s="36"/>
      <c r="G177" s="4"/>
      <c r="H177" s="36"/>
      <c r="I177" s="36"/>
      <c r="J177" s="36"/>
      <c r="K177" s="4"/>
      <c r="L177" s="5"/>
    </row>
    <row r="178" customFormat="false" ht="15.75" hidden="false" customHeight="true" outlineLevel="0" collapsed="false">
      <c r="B178" s="32"/>
      <c r="C178" s="32"/>
      <c r="D178" s="33"/>
      <c r="E178" s="34" t="n">
        <v>0</v>
      </c>
      <c r="F178" s="32"/>
      <c r="G178" s="33"/>
      <c r="H178" s="32"/>
      <c r="I178" s="32"/>
      <c r="J178" s="32"/>
      <c r="K178" s="33"/>
      <c r="L178" s="13"/>
    </row>
    <row r="179" customFormat="false" ht="15.75" hidden="false" customHeight="true" outlineLevel="0" collapsed="false">
      <c r="B179" s="36"/>
      <c r="C179" s="36"/>
      <c r="D179" s="4"/>
      <c r="E179" s="37" t="n">
        <v>0</v>
      </c>
      <c r="F179" s="36"/>
      <c r="G179" s="4"/>
      <c r="H179" s="36"/>
      <c r="I179" s="36"/>
      <c r="J179" s="36"/>
      <c r="K179" s="4"/>
      <c r="L179" s="5"/>
    </row>
    <row r="180" customFormat="false" ht="15.75" hidden="false" customHeight="true" outlineLevel="0" collapsed="false">
      <c r="B180" s="32"/>
      <c r="C180" s="32"/>
      <c r="D180" s="33"/>
      <c r="E180" s="34" t="n">
        <v>0</v>
      </c>
      <c r="F180" s="32"/>
      <c r="G180" s="33"/>
      <c r="H180" s="32"/>
      <c r="I180" s="32"/>
      <c r="J180" s="32"/>
      <c r="K180" s="33"/>
      <c r="L180" s="13"/>
    </row>
    <row r="181" customFormat="false" ht="15.75" hidden="false" customHeight="true" outlineLevel="0" collapsed="false">
      <c r="B181" s="36"/>
      <c r="C181" s="36"/>
      <c r="D181" s="4"/>
      <c r="E181" s="37" t="n">
        <v>0</v>
      </c>
      <c r="F181" s="36"/>
      <c r="G181" s="4"/>
      <c r="H181" s="36"/>
      <c r="I181" s="36"/>
      <c r="J181" s="36"/>
      <c r="K181" s="4"/>
      <c r="L181" s="5"/>
    </row>
    <row r="182" customFormat="false" ht="15.75" hidden="false" customHeight="true" outlineLevel="0" collapsed="false">
      <c r="B182" s="32"/>
      <c r="C182" s="32"/>
      <c r="D182" s="33"/>
      <c r="E182" s="34" t="n">
        <v>0</v>
      </c>
      <c r="F182" s="32"/>
      <c r="G182" s="33"/>
      <c r="H182" s="32"/>
      <c r="I182" s="32"/>
      <c r="J182" s="32"/>
      <c r="K182" s="33"/>
      <c r="L182" s="13"/>
    </row>
    <row r="183" customFormat="false" ht="15.75" hidden="false" customHeight="true" outlineLevel="0" collapsed="false">
      <c r="B183" s="36"/>
      <c r="C183" s="36"/>
      <c r="D183" s="4"/>
      <c r="E183" s="37" t="n">
        <v>0</v>
      </c>
      <c r="F183" s="36"/>
      <c r="G183" s="4"/>
      <c r="H183" s="36"/>
      <c r="I183" s="36"/>
      <c r="J183" s="36"/>
      <c r="K183" s="4"/>
      <c r="L183" s="5"/>
    </row>
    <row r="184" customFormat="false" ht="15.75" hidden="false" customHeight="true" outlineLevel="0" collapsed="false">
      <c r="B184" s="32"/>
      <c r="C184" s="32"/>
      <c r="D184" s="33"/>
      <c r="E184" s="34" t="n">
        <v>0</v>
      </c>
      <c r="F184" s="32"/>
      <c r="G184" s="33"/>
      <c r="H184" s="32"/>
      <c r="I184" s="32"/>
      <c r="J184" s="32"/>
      <c r="K184" s="33"/>
      <c r="L184" s="13"/>
    </row>
    <row r="185" customFormat="false" ht="15.75" hidden="false" customHeight="true" outlineLevel="0" collapsed="false">
      <c r="B185" s="36"/>
      <c r="C185" s="36"/>
      <c r="D185" s="4"/>
      <c r="E185" s="37" t="n">
        <v>0</v>
      </c>
      <c r="F185" s="36"/>
      <c r="G185" s="4"/>
      <c r="H185" s="36"/>
      <c r="I185" s="36"/>
      <c r="J185" s="36"/>
      <c r="K185" s="4"/>
      <c r="L185" s="5"/>
    </row>
    <row r="186" customFormat="false" ht="15.75" hidden="false" customHeight="true" outlineLevel="0" collapsed="false">
      <c r="B186" s="32"/>
      <c r="C186" s="32"/>
      <c r="D186" s="33"/>
      <c r="E186" s="34" t="n">
        <v>0</v>
      </c>
      <c r="F186" s="32"/>
      <c r="G186" s="33"/>
      <c r="H186" s="32"/>
      <c r="I186" s="32"/>
      <c r="J186" s="32"/>
      <c r="K186" s="33"/>
      <c r="L186" s="13"/>
    </row>
    <row r="187" customFormat="false" ht="15.75" hidden="false" customHeight="true" outlineLevel="0" collapsed="false">
      <c r="B187" s="36"/>
      <c r="C187" s="36"/>
      <c r="D187" s="4"/>
      <c r="E187" s="37" t="n">
        <v>0</v>
      </c>
      <c r="F187" s="36"/>
      <c r="G187" s="4"/>
      <c r="H187" s="36"/>
      <c r="I187" s="36"/>
      <c r="J187" s="36"/>
      <c r="K187" s="4"/>
      <c r="L187" s="5"/>
    </row>
    <row r="188" customFormat="false" ht="15.75" hidden="false" customHeight="true" outlineLevel="0" collapsed="false">
      <c r="B188" s="32"/>
      <c r="C188" s="32"/>
      <c r="D188" s="33"/>
      <c r="E188" s="34" t="n">
        <v>0</v>
      </c>
      <c r="F188" s="32"/>
      <c r="G188" s="33"/>
      <c r="H188" s="32"/>
      <c r="I188" s="32"/>
      <c r="J188" s="32"/>
      <c r="K188" s="33"/>
      <c r="L188" s="13"/>
    </row>
    <row r="189" customFormat="false" ht="15.75" hidden="false" customHeight="true" outlineLevel="0" collapsed="false">
      <c r="B189" s="36"/>
      <c r="C189" s="36"/>
      <c r="D189" s="4"/>
      <c r="E189" s="37" t="n">
        <v>0</v>
      </c>
      <c r="F189" s="36"/>
      <c r="G189" s="4"/>
      <c r="H189" s="36"/>
      <c r="I189" s="36"/>
      <c r="J189" s="36"/>
      <c r="K189" s="4"/>
      <c r="L189" s="5"/>
    </row>
    <row r="190" customFormat="false" ht="15.75" hidden="false" customHeight="true" outlineLevel="0" collapsed="false">
      <c r="B190" s="32"/>
      <c r="C190" s="32"/>
      <c r="D190" s="33"/>
      <c r="E190" s="34" t="n">
        <v>0</v>
      </c>
      <c r="F190" s="32"/>
      <c r="G190" s="33"/>
      <c r="H190" s="32"/>
      <c r="I190" s="32"/>
      <c r="J190" s="32"/>
      <c r="K190" s="33"/>
      <c r="L190" s="13"/>
    </row>
    <row r="191" customFormat="false" ht="15.75" hidden="false" customHeight="true" outlineLevel="0" collapsed="false">
      <c r="B191" s="36"/>
      <c r="C191" s="36"/>
      <c r="D191" s="4"/>
      <c r="E191" s="37" t="n">
        <v>0</v>
      </c>
      <c r="F191" s="36"/>
      <c r="G191" s="4"/>
      <c r="H191" s="36"/>
      <c r="I191" s="36"/>
      <c r="J191" s="36"/>
      <c r="K191" s="4"/>
      <c r="L191" s="5"/>
    </row>
    <row r="192" customFormat="false" ht="15.75" hidden="false" customHeight="true" outlineLevel="0" collapsed="false">
      <c r="B192" s="32"/>
      <c r="C192" s="32"/>
      <c r="D192" s="33"/>
      <c r="E192" s="34" t="n">
        <v>0</v>
      </c>
      <c r="F192" s="32"/>
      <c r="G192" s="33"/>
      <c r="H192" s="32"/>
      <c r="I192" s="32"/>
      <c r="J192" s="32"/>
      <c r="K192" s="33"/>
      <c r="L192" s="13"/>
    </row>
    <row r="193" customFormat="false" ht="15.75" hidden="false" customHeight="true" outlineLevel="0" collapsed="false">
      <c r="B193" s="36"/>
      <c r="C193" s="36"/>
      <c r="D193" s="4"/>
      <c r="E193" s="37" t="n">
        <v>0</v>
      </c>
      <c r="F193" s="36"/>
      <c r="G193" s="4"/>
      <c r="H193" s="36"/>
      <c r="I193" s="36"/>
      <c r="J193" s="36"/>
      <c r="K193" s="4"/>
      <c r="L193" s="5"/>
    </row>
    <row r="194" customFormat="false" ht="15.75" hidden="false" customHeight="true" outlineLevel="0" collapsed="false">
      <c r="B194" s="32"/>
      <c r="C194" s="32"/>
      <c r="D194" s="33"/>
      <c r="E194" s="34" t="n">
        <v>0</v>
      </c>
      <c r="F194" s="32"/>
      <c r="G194" s="33"/>
      <c r="H194" s="32"/>
      <c r="I194" s="32"/>
      <c r="J194" s="32"/>
      <c r="K194" s="33"/>
      <c r="L194" s="13"/>
    </row>
    <row r="195" customFormat="false" ht="15.75" hidden="false" customHeight="true" outlineLevel="0" collapsed="false">
      <c r="B195" s="36"/>
      <c r="C195" s="36"/>
      <c r="D195" s="4"/>
      <c r="E195" s="37" t="n">
        <v>0</v>
      </c>
      <c r="F195" s="36"/>
      <c r="G195" s="4"/>
      <c r="H195" s="36"/>
      <c r="I195" s="36"/>
      <c r="J195" s="36"/>
      <c r="K195" s="4"/>
      <c r="L195" s="5"/>
    </row>
    <row r="196" customFormat="false" ht="15.75" hidden="false" customHeight="true" outlineLevel="0" collapsed="false">
      <c r="B196" s="32"/>
      <c r="C196" s="32"/>
      <c r="D196" s="33"/>
      <c r="E196" s="34" t="n">
        <v>0</v>
      </c>
      <c r="F196" s="32"/>
      <c r="G196" s="33"/>
      <c r="H196" s="32"/>
      <c r="I196" s="32"/>
      <c r="J196" s="32"/>
      <c r="K196" s="33"/>
      <c r="L196" s="13"/>
    </row>
    <row r="197" customFormat="false" ht="15.75" hidden="false" customHeight="true" outlineLevel="0" collapsed="false">
      <c r="B197" s="36"/>
      <c r="C197" s="36"/>
      <c r="D197" s="4"/>
      <c r="E197" s="37" t="n">
        <v>0</v>
      </c>
      <c r="F197" s="36"/>
      <c r="G197" s="4"/>
      <c r="H197" s="36"/>
      <c r="I197" s="36"/>
      <c r="J197" s="36"/>
      <c r="K197" s="4"/>
      <c r="L197" s="5"/>
    </row>
    <row r="198" customFormat="false" ht="15.75" hidden="false" customHeight="true" outlineLevel="0" collapsed="false">
      <c r="B198" s="32"/>
      <c r="C198" s="32"/>
      <c r="D198" s="33"/>
      <c r="E198" s="34" t="n">
        <v>0</v>
      </c>
      <c r="F198" s="32"/>
      <c r="G198" s="33"/>
      <c r="H198" s="32"/>
      <c r="I198" s="32"/>
      <c r="J198" s="32"/>
      <c r="K198" s="33"/>
      <c r="L198" s="13"/>
    </row>
    <row r="199" customFormat="false" ht="15.75" hidden="false" customHeight="true" outlineLevel="0" collapsed="false">
      <c r="B199" s="36"/>
      <c r="C199" s="36"/>
      <c r="D199" s="4"/>
      <c r="E199" s="37" t="n">
        <v>0</v>
      </c>
      <c r="F199" s="36"/>
      <c r="G199" s="4"/>
      <c r="H199" s="36"/>
      <c r="I199" s="36"/>
      <c r="J199" s="36"/>
      <c r="K199" s="4"/>
      <c r="L199" s="5"/>
    </row>
    <row r="200" customFormat="false" ht="15.75" hidden="false" customHeight="true" outlineLevel="0" collapsed="false">
      <c r="B200" s="32"/>
      <c r="C200" s="32"/>
      <c r="D200" s="33"/>
      <c r="E200" s="34" t="n">
        <v>0</v>
      </c>
      <c r="F200" s="32"/>
      <c r="G200" s="33"/>
      <c r="H200" s="32"/>
      <c r="I200" s="32"/>
      <c r="J200" s="32"/>
      <c r="K200" s="33"/>
      <c r="L200" s="13"/>
    </row>
    <row r="201" customFormat="false" ht="15.75" hidden="false" customHeight="true" outlineLevel="0" collapsed="false">
      <c r="B201" s="36"/>
      <c r="C201" s="36"/>
      <c r="D201" s="4"/>
      <c r="E201" s="37" t="n">
        <v>0</v>
      </c>
      <c r="F201" s="36"/>
      <c r="G201" s="4"/>
      <c r="H201" s="36"/>
      <c r="I201" s="36"/>
      <c r="J201" s="36"/>
      <c r="K201" s="4"/>
      <c r="L201" s="5"/>
    </row>
    <row r="202" customFormat="false" ht="15.75" hidden="false" customHeight="true" outlineLevel="0" collapsed="false">
      <c r="B202" s="32"/>
      <c r="C202" s="32"/>
      <c r="D202" s="33"/>
      <c r="E202" s="34" t="n">
        <v>0</v>
      </c>
      <c r="F202" s="32"/>
      <c r="G202" s="33"/>
      <c r="H202" s="32"/>
      <c r="I202" s="32"/>
      <c r="J202" s="32"/>
      <c r="K202" s="33"/>
      <c r="L202" s="13"/>
    </row>
    <row r="203" customFormat="false" ht="15.75" hidden="false" customHeight="true" outlineLevel="0" collapsed="false">
      <c r="B203" s="36"/>
      <c r="C203" s="36"/>
      <c r="D203" s="4"/>
      <c r="E203" s="37" t="n">
        <v>0</v>
      </c>
      <c r="F203" s="36"/>
      <c r="G203" s="4"/>
      <c r="H203" s="36"/>
      <c r="I203" s="36"/>
      <c r="J203" s="36"/>
      <c r="K203" s="4"/>
      <c r="L203" s="5"/>
    </row>
    <row r="204" customFormat="false" ht="15.75" hidden="false" customHeight="true" outlineLevel="0" collapsed="false">
      <c r="B204" s="32"/>
      <c r="C204" s="32"/>
      <c r="D204" s="33"/>
      <c r="E204" s="34" t="n">
        <v>0</v>
      </c>
      <c r="F204" s="32"/>
      <c r="G204" s="33"/>
      <c r="H204" s="32"/>
      <c r="I204" s="32"/>
      <c r="J204" s="32"/>
      <c r="K204" s="33"/>
      <c r="L204" s="13"/>
    </row>
    <row r="205" customFormat="false" ht="15.75" hidden="false" customHeight="true" outlineLevel="0" collapsed="false">
      <c r="B205" s="36"/>
      <c r="C205" s="36"/>
      <c r="D205" s="4"/>
      <c r="E205" s="37" t="n">
        <v>0</v>
      </c>
      <c r="F205" s="36"/>
      <c r="G205" s="4"/>
      <c r="H205" s="36"/>
      <c r="I205" s="36"/>
      <c r="J205" s="36"/>
      <c r="K205" s="4"/>
      <c r="L205" s="5"/>
    </row>
    <row r="206" customFormat="false" ht="19.5" hidden="false" customHeight="true" outlineLevel="0" collapsed="false">
      <c r="B206" s="38" t="s">
        <v>546</v>
      </c>
      <c r="C206" s="2"/>
      <c r="D206" s="2"/>
      <c r="E206" s="39" t="n">
        <f aca="false">SUMIF(F6:F205,"Approved",E6:E205)</f>
        <v>0</v>
      </c>
      <c r="F206" s="2"/>
      <c r="G206" s="2"/>
      <c r="H206" s="2"/>
      <c r="I206" s="2"/>
      <c r="J206" s="2"/>
      <c r="K206" s="2"/>
      <c r="L20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true"/>
  </sheetPr>
  <dimension ref="B2:O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3"/>
  </cols>
  <sheetData>
    <row r="2" customFormat="false" ht="39.75" hidden="false" customHeight="true" outlineLevel="0" collapsed="false">
      <c r="B2" s="1" t="s">
        <v>547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.5" hidden="false" customHeight="true" outlineLevel="0" collapsed="false"/>
    <row r="4" customFormat="false" ht="15.75" hidden="false" customHeight="true" outlineLevel="0" collapsed="false">
      <c r="B4" s="29" t="s">
        <v>548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27.75" hidden="false" customHeight="true" outlineLevel="0" collapsed="false">
      <c r="B5" s="15" t="s">
        <v>19</v>
      </c>
      <c r="C5" s="15" t="s">
        <v>549</v>
      </c>
      <c r="D5" s="15" t="s">
        <v>550</v>
      </c>
      <c r="E5" s="15" t="s">
        <v>551</v>
      </c>
      <c r="F5" s="15" t="s">
        <v>552</v>
      </c>
      <c r="G5" s="15" t="s">
        <v>553</v>
      </c>
      <c r="H5" s="15" t="s">
        <v>554</v>
      </c>
      <c r="I5" s="15" t="s">
        <v>555</v>
      </c>
      <c r="J5" s="15" t="s">
        <v>556</v>
      </c>
      <c r="K5" s="15" t="s">
        <v>541</v>
      </c>
      <c r="L5" s="15" t="s">
        <v>557</v>
      </c>
      <c r="M5" s="15" t="s">
        <v>558</v>
      </c>
      <c r="N5" s="15" t="s">
        <v>559</v>
      </c>
      <c r="O5" s="2"/>
    </row>
    <row r="6" customFormat="false" ht="15.75" hidden="false" customHeight="true" outlineLevel="0" collapsed="false">
      <c r="B6" s="32"/>
      <c r="C6" s="32"/>
      <c r="D6" s="33"/>
      <c r="E6" s="32"/>
      <c r="F6" s="32"/>
      <c r="G6" s="34" t="n">
        <v>0</v>
      </c>
      <c r="H6" s="48" t="str">
        <f aca="false">IF(G6=0,"",G6*0.1)</f>
        <v/>
      </c>
      <c r="I6" s="35" t="str">
        <f aca="false">IF(G6=0,"",G6*1.1)</f>
        <v/>
      </c>
      <c r="J6" s="32"/>
      <c r="K6" s="32"/>
      <c r="L6" s="32"/>
      <c r="M6" s="34" t="n">
        <v>0</v>
      </c>
      <c r="N6" s="32"/>
      <c r="O6" s="13"/>
    </row>
    <row r="7" customFormat="false" ht="15.75" hidden="false" customHeight="true" outlineLevel="0" collapsed="false">
      <c r="B7" s="36"/>
      <c r="C7" s="36"/>
      <c r="D7" s="4"/>
      <c r="E7" s="36"/>
      <c r="F7" s="36"/>
      <c r="G7" s="37" t="n">
        <v>0</v>
      </c>
      <c r="H7" s="49" t="str">
        <f aca="false">IF(G7=0,"",G7*0.1)</f>
        <v/>
      </c>
      <c r="I7" s="35" t="str">
        <f aca="false">IF(G7=0,"",G7*1.1)</f>
        <v/>
      </c>
      <c r="J7" s="36"/>
      <c r="K7" s="36"/>
      <c r="L7" s="36"/>
      <c r="M7" s="37" t="n">
        <v>0</v>
      </c>
      <c r="N7" s="36"/>
      <c r="O7" s="5"/>
    </row>
    <row r="8" customFormat="false" ht="15.75" hidden="false" customHeight="true" outlineLevel="0" collapsed="false">
      <c r="B8" s="32"/>
      <c r="C8" s="32"/>
      <c r="D8" s="33"/>
      <c r="E8" s="32"/>
      <c r="F8" s="32"/>
      <c r="G8" s="34" t="n">
        <v>0</v>
      </c>
      <c r="H8" s="48" t="str">
        <f aca="false">IF(G8=0,"",G8*0.1)</f>
        <v/>
      </c>
      <c r="I8" s="35" t="str">
        <f aca="false">IF(G8=0,"",G8*1.1)</f>
        <v/>
      </c>
      <c r="J8" s="32"/>
      <c r="K8" s="32"/>
      <c r="L8" s="32"/>
      <c r="M8" s="34" t="n">
        <v>0</v>
      </c>
      <c r="N8" s="32"/>
      <c r="O8" s="13"/>
    </row>
    <row r="9" customFormat="false" ht="15.75" hidden="false" customHeight="true" outlineLevel="0" collapsed="false">
      <c r="B9" s="36"/>
      <c r="C9" s="36"/>
      <c r="D9" s="4"/>
      <c r="E9" s="36"/>
      <c r="F9" s="36"/>
      <c r="G9" s="37" t="n">
        <v>0</v>
      </c>
      <c r="H9" s="49" t="str">
        <f aca="false">IF(G9=0,"",G9*0.1)</f>
        <v/>
      </c>
      <c r="I9" s="35" t="str">
        <f aca="false">IF(G9=0,"",G9*1.1)</f>
        <v/>
      </c>
      <c r="J9" s="36"/>
      <c r="K9" s="36"/>
      <c r="L9" s="36"/>
      <c r="M9" s="37" t="n">
        <v>0</v>
      </c>
      <c r="N9" s="36"/>
      <c r="O9" s="5"/>
    </row>
    <row r="10" customFormat="false" ht="15.75" hidden="false" customHeight="true" outlineLevel="0" collapsed="false">
      <c r="B10" s="32"/>
      <c r="C10" s="32"/>
      <c r="D10" s="33"/>
      <c r="E10" s="32"/>
      <c r="F10" s="32"/>
      <c r="G10" s="34" t="n">
        <v>0</v>
      </c>
      <c r="H10" s="48" t="str">
        <f aca="false">IF(G10=0,"",G10*0.1)</f>
        <v/>
      </c>
      <c r="I10" s="35" t="str">
        <f aca="false">IF(G10=0,"",G10*1.1)</f>
        <v/>
      </c>
      <c r="J10" s="32"/>
      <c r="K10" s="32"/>
      <c r="L10" s="32"/>
      <c r="M10" s="34" t="n">
        <v>0</v>
      </c>
      <c r="N10" s="32"/>
      <c r="O10" s="13"/>
    </row>
    <row r="11" customFormat="false" ht="15.75" hidden="false" customHeight="true" outlineLevel="0" collapsed="false">
      <c r="B11" s="36"/>
      <c r="C11" s="36"/>
      <c r="D11" s="4"/>
      <c r="E11" s="36"/>
      <c r="F11" s="36"/>
      <c r="G11" s="37" t="n">
        <v>0</v>
      </c>
      <c r="H11" s="49" t="str">
        <f aca="false">IF(G11=0,"",G11*0.1)</f>
        <v/>
      </c>
      <c r="I11" s="35" t="str">
        <f aca="false">IF(G11=0,"",G11*1.1)</f>
        <v/>
      </c>
      <c r="J11" s="36"/>
      <c r="K11" s="36"/>
      <c r="L11" s="36"/>
      <c r="M11" s="37" t="n">
        <v>0</v>
      </c>
      <c r="N11" s="36"/>
      <c r="O11" s="5"/>
    </row>
    <row r="12" customFormat="false" ht="15.75" hidden="false" customHeight="true" outlineLevel="0" collapsed="false">
      <c r="B12" s="32"/>
      <c r="C12" s="32"/>
      <c r="D12" s="33"/>
      <c r="E12" s="32"/>
      <c r="F12" s="32"/>
      <c r="G12" s="34" t="n">
        <v>0</v>
      </c>
      <c r="H12" s="48" t="str">
        <f aca="false">IF(G12=0,"",G12*0.1)</f>
        <v/>
      </c>
      <c r="I12" s="35" t="str">
        <f aca="false">IF(G12=0,"",G12*1.1)</f>
        <v/>
      </c>
      <c r="J12" s="32"/>
      <c r="K12" s="32"/>
      <c r="L12" s="32"/>
      <c r="M12" s="34" t="n">
        <v>0</v>
      </c>
      <c r="N12" s="32"/>
      <c r="O12" s="13"/>
    </row>
    <row r="13" customFormat="false" ht="15.75" hidden="false" customHeight="true" outlineLevel="0" collapsed="false">
      <c r="B13" s="36"/>
      <c r="C13" s="36"/>
      <c r="D13" s="4"/>
      <c r="E13" s="36"/>
      <c r="F13" s="36"/>
      <c r="G13" s="37" t="n">
        <v>0</v>
      </c>
      <c r="H13" s="49" t="str">
        <f aca="false">IF(G13=0,"",G13*0.1)</f>
        <v/>
      </c>
      <c r="I13" s="35" t="str">
        <f aca="false">IF(G13=0,"",G13*1.1)</f>
        <v/>
      </c>
      <c r="J13" s="36"/>
      <c r="K13" s="36"/>
      <c r="L13" s="36"/>
      <c r="M13" s="37" t="n">
        <v>0</v>
      </c>
      <c r="N13" s="36"/>
      <c r="O13" s="5"/>
    </row>
    <row r="14" customFormat="false" ht="15.75" hidden="false" customHeight="true" outlineLevel="0" collapsed="false">
      <c r="B14" s="32"/>
      <c r="C14" s="32"/>
      <c r="D14" s="33"/>
      <c r="E14" s="32"/>
      <c r="F14" s="32"/>
      <c r="G14" s="34" t="n">
        <v>0</v>
      </c>
      <c r="H14" s="48" t="str">
        <f aca="false">IF(G14=0,"",G14*0.1)</f>
        <v/>
      </c>
      <c r="I14" s="35" t="str">
        <f aca="false">IF(G14=0,"",G14*1.1)</f>
        <v/>
      </c>
      <c r="J14" s="32"/>
      <c r="K14" s="32"/>
      <c r="L14" s="32"/>
      <c r="M14" s="34" t="n">
        <v>0</v>
      </c>
      <c r="N14" s="32"/>
      <c r="O14" s="13"/>
    </row>
    <row r="15" customFormat="false" ht="15.75" hidden="false" customHeight="true" outlineLevel="0" collapsed="false">
      <c r="B15" s="36"/>
      <c r="C15" s="36"/>
      <c r="D15" s="4"/>
      <c r="E15" s="36"/>
      <c r="F15" s="36"/>
      <c r="G15" s="37" t="n">
        <v>0</v>
      </c>
      <c r="H15" s="49" t="str">
        <f aca="false">IF(G15=0,"",G15*0.1)</f>
        <v/>
      </c>
      <c r="I15" s="35" t="str">
        <f aca="false">IF(G15=0,"",G15*1.1)</f>
        <v/>
      </c>
      <c r="J15" s="36"/>
      <c r="K15" s="36"/>
      <c r="L15" s="36"/>
      <c r="M15" s="37" t="n">
        <v>0</v>
      </c>
      <c r="N15" s="36"/>
      <c r="O15" s="5"/>
    </row>
    <row r="16" customFormat="false" ht="15.75" hidden="false" customHeight="true" outlineLevel="0" collapsed="false">
      <c r="B16" s="32"/>
      <c r="C16" s="32"/>
      <c r="D16" s="33"/>
      <c r="E16" s="32"/>
      <c r="F16" s="32"/>
      <c r="G16" s="34" t="n">
        <v>0</v>
      </c>
      <c r="H16" s="48" t="str">
        <f aca="false">IF(G16=0,"",G16*0.1)</f>
        <v/>
      </c>
      <c r="I16" s="35" t="str">
        <f aca="false">IF(G16=0,"",G16*1.1)</f>
        <v/>
      </c>
      <c r="J16" s="32"/>
      <c r="K16" s="32"/>
      <c r="L16" s="32"/>
      <c r="M16" s="34" t="n">
        <v>0</v>
      </c>
      <c r="N16" s="32"/>
      <c r="O16" s="13"/>
    </row>
    <row r="17" customFormat="false" ht="15.75" hidden="false" customHeight="true" outlineLevel="0" collapsed="false">
      <c r="B17" s="36"/>
      <c r="C17" s="36"/>
      <c r="D17" s="4"/>
      <c r="E17" s="36"/>
      <c r="F17" s="36"/>
      <c r="G17" s="37" t="n">
        <v>0</v>
      </c>
      <c r="H17" s="49" t="str">
        <f aca="false">IF(G17=0,"",G17*0.1)</f>
        <v/>
      </c>
      <c r="I17" s="35" t="str">
        <f aca="false">IF(G17=0,"",G17*1.1)</f>
        <v/>
      </c>
      <c r="J17" s="36"/>
      <c r="K17" s="36"/>
      <c r="L17" s="36"/>
      <c r="M17" s="37" t="n">
        <v>0</v>
      </c>
      <c r="N17" s="36"/>
      <c r="O17" s="5"/>
    </row>
    <row r="18" customFormat="false" ht="15.75" hidden="false" customHeight="true" outlineLevel="0" collapsed="false">
      <c r="B18" s="32"/>
      <c r="C18" s="32"/>
      <c r="D18" s="33"/>
      <c r="E18" s="32"/>
      <c r="F18" s="32"/>
      <c r="G18" s="34" t="n">
        <v>0</v>
      </c>
      <c r="H18" s="48" t="str">
        <f aca="false">IF(G18=0,"",G18*0.1)</f>
        <v/>
      </c>
      <c r="I18" s="35" t="str">
        <f aca="false">IF(G18=0,"",G18*1.1)</f>
        <v/>
      </c>
      <c r="J18" s="32"/>
      <c r="K18" s="32"/>
      <c r="L18" s="32"/>
      <c r="M18" s="34" t="n">
        <v>0</v>
      </c>
      <c r="N18" s="32"/>
      <c r="O18" s="13"/>
    </row>
    <row r="19" customFormat="false" ht="15.75" hidden="false" customHeight="true" outlineLevel="0" collapsed="false">
      <c r="B19" s="36"/>
      <c r="C19" s="36"/>
      <c r="D19" s="4"/>
      <c r="E19" s="36"/>
      <c r="F19" s="36"/>
      <c r="G19" s="37" t="n">
        <v>0</v>
      </c>
      <c r="H19" s="49" t="str">
        <f aca="false">IF(G19=0,"",G19*0.1)</f>
        <v/>
      </c>
      <c r="I19" s="35" t="str">
        <f aca="false">IF(G19=0,"",G19*1.1)</f>
        <v/>
      </c>
      <c r="J19" s="36"/>
      <c r="K19" s="36"/>
      <c r="L19" s="36"/>
      <c r="M19" s="37" t="n">
        <v>0</v>
      </c>
      <c r="N19" s="36"/>
      <c r="O19" s="5"/>
    </row>
    <row r="20" customFormat="false" ht="15.75" hidden="false" customHeight="true" outlineLevel="0" collapsed="false">
      <c r="B20" s="32"/>
      <c r="C20" s="32"/>
      <c r="D20" s="33"/>
      <c r="E20" s="32"/>
      <c r="F20" s="32"/>
      <c r="G20" s="34" t="n">
        <v>0</v>
      </c>
      <c r="H20" s="48" t="str">
        <f aca="false">IF(G20=0,"",G20*0.1)</f>
        <v/>
      </c>
      <c r="I20" s="35" t="str">
        <f aca="false">IF(G20=0,"",G20*1.1)</f>
        <v/>
      </c>
      <c r="J20" s="32"/>
      <c r="K20" s="32"/>
      <c r="L20" s="32"/>
      <c r="M20" s="34" t="n">
        <v>0</v>
      </c>
      <c r="N20" s="32"/>
      <c r="O20" s="13"/>
    </row>
    <row r="21" customFormat="false" ht="15.75" hidden="false" customHeight="true" outlineLevel="0" collapsed="false">
      <c r="B21" s="36"/>
      <c r="C21" s="36"/>
      <c r="D21" s="4"/>
      <c r="E21" s="36"/>
      <c r="F21" s="36"/>
      <c r="G21" s="37" t="n">
        <v>0</v>
      </c>
      <c r="H21" s="49" t="str">
        <f aca="false">IF(G21=0,"",G21*0.1)</f>
        <v/>
      </c>
      <c r="I21" s="35" t="str">
        <f aca="false">IF(G21=0,"",G21*1.1)</f>
        <v/>
      </c>
      <c r="J21" s="36"/>
      <c r="K21" s="36"/>
      <c r="L21" s="36"/>
      <c r="M21" s="37" t="n">
        <v>0</v>
      </c>
      <c r="N21" s="36"/>
      <c r="O21" s="5"/>
    </row>
    <row r="22" customFormat="false" ht="15.75" hidden="false" customHeight="true" outlineLevel="0" collapsed="false">
      <c r="B22" s="32"/>
      <c r="C22" s="32"/>
      <c r="D22" s="33"/>
      <c r="E22" s="32"/>
      <c r="F22" s="32"/>
      <c r="G22" s="34" t="n">
        <v>0</v>
      </c>
      <c r="H22" s="48" t="str">
        <f aca="false">IF(G22=0,"",G22*0.1)</f>
        <v/>
      </c>
      <c r="I22" s="35" t="str">
        <f aca="false">IF(G22=0,"",G22*1.1)</f>
        <v/>
      </c>
      <c r="J22" s="32"/>
      <c r="K22" s="32"/>
      <c r="L22" s="32"/>
      <c r="M22" s="34" t="n">
        <v>0</v>
      </c>
      <c r="N22" s="32"/>
      <c r="O22" s="13"/>
    </row>
    <row r="23" customFormat="false" ht="15.75" hidden="false" customHeight="true" outlineLevel="0" collapsed="false">
      <c r="B23" s="36"/>
      <c r="C23" s="36"/>
      <c r="D23" s="4"/>
      <c r="E23" s="36"/>
      <c r="F23" s="36"/>
      <c r="G23" s="37" t="n">
        <v>0</v>
      </c>
      <c r="H23" s="49" t="str">
        <f aca="false">IF(G23=0,"",G23*0.1)</f>
        <v/>
      </c>
      <c r="I23" s="35" t="str">
        <f aca="false">IF(G23=0,"",G23*1.1)</f>
        <v/>
      </c>
      <c r="J23" s="36"/>
      <c r="K23" s="36"/>
      <c r="L23" s="36"/>
      <c r="M23" s="37" t="n">
        <v>0</v>
      </c>
      <c r="N23" s="36"/>
      <c r="O23" s="5"/>
    </row>
    <row r="24" customFormat="false" ht="15.75" hidden="false" customHeight="true" outlineLevel="0" collapsed="false">
      <c r="B24" s="32"/>
      <c r="C24" s="32"/>
      <c r="D24" s="33"/>
      <c r="E24" s="32"/>
      <c r="F24" s="32"/>
      <c r="G24" s="34" t="n">
        <v>0</v>
      </c>
      <c r="H24" s="48" t="str">
        <f aca="false">IF(G24=0,"",G24*0.1)</f>
        <v/>
      </c>
      <c r="I24" s="35" t="str">
        <f aca="false">IF(G24=0,"",G24*1.1)</f>
        <v/>
      </c>
      <c r="J24" s="32"/>
      <c r="K24" s="32"/>
      <c r="L24" s="32"/>
      <c r="M24" s="34" t="n">
        <v>0</v>
      </c>
      <c r="N24" s="32"/>
      <c r="O24" s="13"/>
    </row>
    <row r="25" customFormat="false" ht="15.75" hidden="false" customHeight="true" outlineLevel="0" collapsed="false">
      <c r="B25" s="36"/>
      <c r="C25" s="36"/>
      <c r="D25" s="4"/>
      <c r="E25" s="36"/>
      <c r="F25" s="36"/>
      <c r="G25" s="37" t="n">
        <v>0</v>
      </c>
      <c r="H25" s="49" t="str">
        <f aca="false">IF(G25=0,"",G25*0.1)</f>
        <v/>
      </c>
      <c r="I25" s="35" t="str">
        <f aca="false">IF(G25=0,"",G25*1.1)</f>
        <v/>
      </c>
      <c r="J25" s="36"/>
      <c r="K25" s="36"/>
      <c r="L25" s="36"/>
      <c r="M25" s="37" t="n">
        <v>0</v>
      </c>
      <c r="N25" s="36"/>
      <c r="O25" s="5"/>
    </row>
    <row r="26" customFormat="false" ht="15.75" hidden="false" customHeight="true" outlineLevel="0" collapsed="false">
      <c r="B26" s="32"/>
      <c r="C26" s="32"/>
      <c r="D26" s="33"/>
      <c r="E26" s="32"/>
      <c r="F26" s="32"/>
      <c r="G26" s="34" t="n">
        <v>0</v>
      </c>
      <c r="H26" s="48" t="str">
        <f aca="false">IF(G26=0,"",G26*0.1)</f>
        <v/>
      </c>
      <c r="I26" s="35" t="str">
        <f aca="false">IF(G26=0,"",G26*1.1)</f>
        <v/>
      </c>
      <c r="J26" s="32"/>
      <c r="K26" s="32"/>
      <c r="L26" s="32"/>
      <c r="M26" s="34" t="n">
        <v>0</v>
      </c>
      <c r="N26" s="32"/>
      <c r="O26" s="13"/>
    </row>
    <row r="27" customFormat="false" ht="15.75" hidden="false" customHeight="true" outlineLevel="0" collapsed="false">
      <c r="B27" s="36"/>
      <c r="C27" s="36"/>
      <c r="D27" s="4"/>
      <c r="E27" s="36"/>
      <c r="F27" s="36"/>
      <c r="G27" s="37" t="n">
        <v>0</v>
      </c>
      <c r="H27" s="49" t="str">
        <f aca="false">IF(G27=0,"",G27*0.1)</f>
        <v/>
      </c>
      <c r="I27" s="35" t="str">
        <f aca="false">IF(G27=0,"",G27*1.1)</f>
        <v/>
      </c>
      <c r="J27" s="36"/>
      <c r="K27" s="36"/>
      <c r="L27" s="36"/>
      <c r="M27" s="37" t="n">
        <v>0</v>
      </c>
      <c r="N27" s="36"/>
      <c r="O27" s="5"/>
    </row>
    <row r="28" customFormat="false" ht="15.75" hidden="false" customHeight="true" outlineLevel="0" collapsed="false">
      <c r="B28" s="32"/>
      <c r="C28" s="32"/>
      <c r="D28" s="33"/>
      <c r="E28" s="32"/>
      <c r="F28" s="32"/>
      <c r="G28" s="34" t="n">
        <v>0</v>
      </c>
      <c r="H28" s="48" t="str">
        <f aca="false">IF(G28=0,"",G28*0.1)</f>
        <v/>
      </c>
      <c r="I28" s="35" t="str">
        <f aca="false">IF(G28=0,"",G28*1.1)</f>
        <v/>
      </c>
      <c r="J28" s="32"/>
      <c r="K28" s="32"/>
      <c r="L28" s="32"/>
      <c r="M28" s="34" t="n">
        <v>0</v>
      </c>
      <c r="N28" s="32"/>
      <c r="O28" s="13"/>
    </row>
    <row r="29" customFormat="false" ht="15.75" hidden="false" customHeight="true" outlineLevel="0" collapsed="false">
      <c r="B29" s="36"/>
      <c r="C29" s="36"/>
      <c r="D29" s="4"/>
      <c r="E29" s="36"/>
      <c r="F29" s="36"/>
      <c r="G29" s="37" t="n">
        <v>0</v>
      </c>
      <c r="H29" s="49" t="str">
        <f aca="false">IF(G29=0,"",G29*0.1)</f>
        <v/>
      </c>
      <c r="I29" s="35" t="str">
        <f aca="false">IF(G29=0,"",G29*1.1)</f>
        <v/>
      </c>
      <c r="J29" s="36"/>
      <c r="K29" s="36"/>
      <c r="L29" s="36"/>
      <c r="M29" s="37" t="n">
        <v>0</v>
      </c>
      <c r="N29" s="36"/>
      <c r="O29" s="5"/>
    </row>
    <row r="30" customFormat="false" ht="15.75" hidden="false" customHeight="true" outlineLevel="0" collapsed="false">
      <c r="B30" s="32"/>
      <c r="C30" s="32"/>
      <c r="D30" s="33"/>
      <c r="E30" s="32"/>
      <c r="F30" s="32"/>
      <c r="G30" s="34" t="n">
        <v>0</v>
      </c>
      <c r="H30" s="48" t="str">
        <f aca="false">IF(G30=0,"",G30*0.1)</f>
        <v/>
      </c>
      <c r="I30" s="35" t="str">
        <f aca="false">IF(G30=0,"",G30*1.1)</f>
        <v/>
      </c>
      <c r="J30" s="32"/>
      <c r="K30" s="32"/>
      <c r="L30" s="32"/>
      <c r="M30" s="34" t="n">
        <v>0</v>
      </c>
      <c r="N30" s="32"/>
      <c r="O30" s="13"/>
    </row>
    <row r="31" customFormat="false" ht="15.75" hidden="false" customHeight="true" outlineLevel="0" collapsed="false">
      <c r="B31" s="36"/>
      <c r="C31" s="36"/>
      <c r="D31" s="4"/>
      <c r="E31" s="36"/>
      <c r="F31" s="36"/>
      <c r="G31" s="37" t="n">
        <v>0</v>
      </c>
      <c r="H31" s="49" t="str">
        <f aca="false">IF(G31=0,"",G31*0.1)</f>
        <v/>
      </c>
      <c r="I31" s="35" t="str">
        <f aca="false">IF(G31=0,"",G31*1.1)</f>
        <v/>
      </c>
      <c r="J31" s="36"/>
      <c r="K31" s="36"/>
      <c r="L31" s="36"/>
      <c r="M31" s="37" t="n">
        <v>0</v>
      </c>
      <c r="N31" s="36"/>
      <c r="O31" s="5"/>
    </row>
    <row r="32" customFormat="false" ht="15.75" hidden="false" customHeight="true" outlineLevel="0" collapsed="false">
      <c r="B32" s="32"/>
      <c r="C32" s="32"/>
      <c r="D32" s="33"/>
      <c r="E32" s="32"/>
      <c r="F32" s="32"/>
      <c r="G32" s="34" t="n">
        <v>0</v>
      </c>
      <c r="H32" s="48" t="str">
        <f aca="false">IF(G32=0,"",G32*0.1)</f>
        <v/>
      </c>
      <c r="I32" s="35" t="str">
        <f aca="false">IF(G32=0,"",G32*1.1)</f>
        <v/>
      </c>
      <c r="J32" s="32"/>
      <c r="K32" s="32"/>
      <c r="L32" s="32"/>
      <c r="M32" s="34" t="n">
        <v>0</v>
      </c>
      <c r="N32" s="32"/>
      <c r="O32" s="13"/>
    </row>
    <row r="33" customFormat="false" ht="15.75" hidden="false" customHeight="true" outlineLevel="0" collapsed="false">
      <c r="B33" s="36"/>
      <c r="C33" s="36"/>
      <c r="D33" s="4"/>
      <c r="E33" s="36"/>
      <c r="F33" s="36"/>
      <c r="G33" s="37" t="n">
        <v>0</v>
      </c>
      <c r="H33" s="49" t="str">
        <f aca="false">IF(G33=0,"",G33*0.1)</f>
        <v/>
      </c>
      <c r="I33" s="35" t="str">
        <f aca="false">IF(G33=0,"",G33*1.1)</f>
        <v/>
      </c>
      <c r="J33" s="36"/>
      <c r="K33" s="36"/>
      <c r="L33" s="36"/>
      <c r="M33" s="37" t="n">
        <v>0</v>
      </c>
      <c r="N33" s="36"/>
      <c r="O33" s="5"/>
    </row>
    <row r="34" customFormat="false" ht="15.75" hidden="false" customHeight="true" outlineLevel="0" collapsed="false">
      <c r="B34" s="32"/>
      <c r="C34" s="32"/>
      <c r="D34" s="33"/>
      <c r="E34" s="32"/>
      <c r="F34" s="32"/>
      <c r="G34" s="34" t="n">
        <v>0</v>
      </c>
      <c r="H34" s="48" t="str">
        <f aca="false">IF(G34=0,"",G34*0.1)</f>
        <v/>
      </c>
      <c r="I34" s="35" t="str">
        <f aca="false">IF(G34=0,"",G34*1.1)</f>
        <v/>
      </c>
      <c r="J34" s="32"/>
      <c r="K34" s="32"/>
      <c r="L34" s="32"/>
      <c r="M34" s="34" t="n">
        <v>0</v>
      </c>
      <c r="N34" s="32"/>
      <c r="O34" s="13"/>
    </row>
    <row r="35" customFormat="false" ht="15.75" hidden="false" customHeight="true" outlineLevel="0" collapsed="false">
      <c r="B35" s="36"/>
      <c r="C35" s="36"/>
      <c r="D35" s="4"/>
      <c r="E35" s="36"/>
      <c r="F35" s="36"/>
      <c r="G35" s="37" t="n">
        <v>0</v>
      </c>
      <c r="H35" s="49" t="str">
        <f aca="false">IF(G35=0,"",G35*0.1)</f>
        <v/>
      </c>
      <c r="I35" s="35" t="str">
        <f aca="false">IF(G35=0,"",G35*1.1)</f>
        <v/>
      </c>
      <c r="J35" s="36"/>
      <c r="K35" s="36"/>
      <c r="L35" s="36"/>
      <c r="M35" s="37" t="n">
        <v>0</v>
      </c>
      <c r="N35" s="36"/>
      <c r="O35" s="5"/>
    </row>
    <row r="36" customFormat="false" ht="15.75" hidden="false" customHeight="true" outlineLevel="0" collapsed="false">
      <c r="B36" s="32"/>
      <c r="C36" s="32"/>
      <c r="D36" s="33"/>
      <c r="E36" s="32"/>
      <c r="F36" s="32"/>
      <c r="G36" s="34" t="n">
        <v>0</v>
      </c>
      <c r="H36" s="48" t="str">
        <f aca="false">IF(G36=0,"",G36*0.1)</f>
        <v/>
      </c>
      <c r="I36" s="35" t="str">
        <f aca="false">IF(G36=0,"",G36*1.1)</f>
        <v/>
      </c>
      <c r="J36" s="32"/>
      <c r="K36" s="32"/>
      <c r="L36" s="32"/>
      <c r="M36" s="34" t="n">
        <v>0</v>
      </c>
      <c r="N36" s="32"/>
      <c r="O36" s="13"/>
    </row>
    <row r="37" customFormat="false" ht="15.75" hidden="false" customHeight="true" outlineLevel="0" collapsed="false">
      <c r="B37" s="36"/>
      <c r="C37" s="36"/>
      <c r="D37" s="4"/>
      <c r="E37" s="36"/>
      <c r="F37" s="36"/>
      <c r="G37" s="37" t="n">
        <v>0</v>
      </c>
      <c r="H37" s="49" t="str">
        <f aca="false">IF(G37=0,"",G37*0.1)</f>
        <v/>
      </c>
      <c r="I37" s="35" t="str">
        <f aca="false">IF(G37=0,"",G37*1.1)</f>
        <v/>
      </c>
      <c r="J37" s="36"/>
      <c r="K37" s="36"/>
      <c r="L37" s="36"/>
      <c r="M37" s="37" t="n">
        <v>0</v>
      </c>
      <c r="N37" s="36"/>
      <c r="O37" s="5"/>
    </row>
    <row r="38" customFormat="false" ht="15.75" hidden="false" customHeight="true" outlineLevel="0" collapsed="false">
      <c r="B38" s="32"/>
      <c r="C38" s="32"/>
      <c r="D38" s="33"/>
      <c r="E38" s="32"/>
      <c r="F38" s="32"/>
      <c r="G38" s="34" t="n">
        <v>0</v>
      </c>
      <c r="H38" s="48" t="str">
        <f aca="false">IF(G38=0,"",G38*0.1)</f>
        <v/>
      </c>
      <c r="I38" s="35" t="str">
        <f aca="false">IF(G38=0,"",G38*1.1)</f>
        <v/>
      </c>
      <c r="J38" s="32"/>
      <c r="K38" s="32"/>
      <c r="L38" s="32"/>
      <c r="M38" s="34" t="n">
        <v>0</v>
      </c>
      <c r="N38" s="32"/>
      <c r="O38" s="13"/>
    </row>
    <row r="39" customFormat="false" ht="15.75" hidden="false" customHeight="true" outlineLevel="0" collapsed="false">
      <c r="B39" s="36"/>
      <c r="C39" s="36"/>
      <c r="D39" s="4"/>
      <c r="E39" s="36"/>
      <c r="F39" s="36"/>
      <c r="G39" s="37" t="n">
        <v>0</v>
      </c>
      <c r="H39" s="49" t="str">
        <f aca="false">IF(G39=0,"",G39*0.1)</f>
        <v/>
      </c>
      <c r="I39" s="35" t="str">
        <f aca="false">IF(G39=0,"",G39*1.1)</f>
        <v/>
      </c>
      <c r="J39" s="36"/>
      <c r="K39" s="36"/>
      <c r="L39" s="36"/>
      <c r="M39" s="37" t="n">
        <v>0</v>
      </c>
      <c r="N39" s="36"/>
      <c r="O39" s="5"/>
    </row>
    <row r="40" customFormat="false" ht="15.75" hidden="false" customHeight="true" outlineLevel="0" collapsed="false">
      <c r="B40" s="32"/>
      <c r="C40" s="32"/>
      <c r="D40" s="33"/>
      <c r="E40" s="32"/>
      <c r="F40" s="32"/>
      <c r="G40" s="34" t="n">
        <v>0</v>
      </c>
      <c r="H40" s="48" t="str">
        <f aca="false">IF(G40=0,"",G40*0.1)</f>
        <v/>
      </c>
      <c r="I40" s="35" t="str">
        <f aca="false">IF(G40=0,"",G40*1.1)</f>
        <v/>
      </c>
      <c r="J40" s="32"/>
      <c r="K40" s="32"/>
      <c r="L40" s="32"/>
      <c r="M40" s="34" t="n">
        <v>0</v>
      </c>
      <c r="N40" s="32"/>
      <c r="O40" s="13"/>
    </row>
    <row r="41" customFormat="false" ht="15.75" hidden="false" customHeight="true" outlineLevel="0" collapsed="false">
      <c r="B41" s="36"/>
      <c r="C41" s="36"/>
      <c r="D41" s="4"/>
      <c r="E41" s="36"/>
      <c r="F41" s="36"/>
      <c r="G41" s="37" t="n">
        <v>0</v>
      </c>
      <c r="H41" s="49" t="str">
        <f aca="false">IF(G41=0,"",G41*0.1)</f>
        <v/>
      </c>
      <c r="I41" s="35" t="str">
        <f aca="false">IF(G41=0,"",G41*1.1)</f>
        <v/>
      </c>
      <c r="J41" s="36"/>
      <c r="K41" s="36"/>
      <c r="L41" s="36"/>
      <c r="M41" s="37" t="n">
        <v>0</v>
      </c>
      <c r="N41" s="36"/>
      <c r="O41" s="5"/>
    </row>
    <row r="42" customFormat="false" ht="15.75" hidden="false" customHeight="true" outlineLevel="0" collapsed="false">
      <c r="B42" s="32"/>
      <c r="C42" s="32"/>
      <c r="D42" s="33"/>
      <c r="E42" s="32"/>
      <c r="F42" s="32"/>
      <c r="G42" s="34" t="n">
        <v>0</v>
      </c>
      <c r="H42" s="48" t="str">
        <f aca="false">IF(G42=0,"",G42*0.1)</f>
        <v/>
      </c>
      <c r="I42" s="35" t="str">
        <f aca="false">IF(G42=0,"",G42*1.1)</f>
        <v/>
      </c>
      <c r="J42" s="32"/>
      <c r="K42" s="32"/>
      <c r="L42" s="32"/>
      <c r="M42" s="34" t="n">
        <v>0</v>
      </c>
      <c r="N42" s="32"/>
      <c r="O42" s="13"/>
    </row>
    <row r="43" customFormat="false" ht="15.75" hidden="false" customHeight="true" outlineLevel="0" collapsed="false">
      <c r="B43" s="36"/>
      <c r="C43" s="36"/>
      <c r="D43" s="4"/>
      <c r="E43" s="36"/>
      <c r="F43" s="36"/>
      <c r="G43" s="37" t="n">
        <v>0</v>
      </c>
      <c r="H43" s="49" t="str">
        <f aca="false">IF(G43=0,"",G43*0.1)</f>
        <v/>
      </c>
      <c r="I43" s="35" t="str">
        <f aca="false">IF(G43=0,"",G43*1.1)</f>
        <v/>
      </c>
      <c r="J43" s="36"/>
      <c r="K43" s="36"/>
      <c r="L43" s="36"/>
      <c r="M43" s="37" t="n">
        <v>0</v>
      </c>
      <c r="N43" s="36"/>
      <c r="O43" s="5"/>
    </row>
    <row r="44" customFormat="false" ht="15.75" hidden="false" customHeight="true" outlineLevel="0" collapsed="false">
      <c r="B44" s="32"/>
      <c r="C44" s="32"/>
      <c r="D44" s="33"/>
      <c r="E44" s="32"/>
      <c r="F44" s="32"/>
      <c r="G44" s="34" t="n">
        <v>0</v>
      </c>
      <c r="H44" s="48" t="str">
        <f aca="false">IF(G44=0,"",G44*0.1)</f>
        <v/>
      </c>
      <c r="I44" s="35" t="str">
        <f aca="false">IF(G44=0,"",G44*1.1)</f>
        <v/>
      </c>
      <c r="J44" s="32"/>
      <c r="K44" s="32"/>
      <c r="L44" s="32"/>
      <c r="M44" s="34" t="n">
        <v>0</v>
      </c>
      <c r="N44" s="32"/>
      <c r="O44" s="13"/>
    </row>
    <row r="45" customFormat="false" ht="15.75" hidden="false" customHeight="true" outlineLevel="0" collapsed="false">
      <c r="B45" s="36"/>
      <c r="C45" s="36"/>
      <c r="D45" s="4"/>
      <c r="E45" s="36"/>
      <c r="F45" s="36"/>
      <c r="G45" s="37" t="n">
        <v>0</v>
      </c>
      <c r="H45" s="49" t="str">
        <f aca="false">IF(G45=0,"",G45*0.1)</f>
        <v/>
      </c>
      <c r="I45" s="35" t="str">
        <f aca="false">IF(G45=0,"",G45*1.1)</f>
        <v/>
      </c>
      <c r="J45" s="36"/>
      <c r="K45" s="36"/>
      <c r="L45" s="36"/>
      <c r="M45" s="37" t="n">
        <v>0</v>
      </c>
      <c r="N45" s="36"/>
      <c r="O45" s="5"/>
    </row>
    <row r="46" customFormat="false" ht="15.75" hidden="false" customHeight="true" outlineLevel="0" collapsed="false">
      <c r="B46" s="32"/>
      <c r="C46" s="32"/>
      <c r="D46" s="33"/>
      <c r="E46" s="32"/>
      <c r="F46" s="32"/>
      <c r="G46" s="34" t="n">
        <v>0</v>
      </c>
      <c r="H46" s="48" t="str">
        <f aca="false">IF(G46=0,"",G46*0.1)</f>
        <v/>
      </c>
      <c r="I46" s="35" t="str">
        <f aca="false">IF(G46=0,"",G46*1.1)</f>
        <v/>
      </c>
      <c r="J46" s="32"/>
      <c r="K46" s="32"/>
      <c r="L46" s="32"/>
      <c r="M46" s="34" t="n">
        <v>0</v>
      </c>
      <c r="N46" s="32"/>
      <c r="O46" s="13"/>
    </row>
    <row r="47" customFormat="false" ht="15.75" hidden="false" customHeight="true" outlineLevel="0" collapsed="false">
      <c r="B47" s="36"/>
      <c r="C47" s="36"/>
      <c r="D47" s="4"/>
      <c r="E47" s="36"/>
      <c r="F47" s="36"/>
      <c r="G47" s="37" t="n">
        <v>0</v>
      </c>
      <c r="H47" s="49" t="str">
        <f aca="false">IF(G47=0,"",G47*0.1)</f>
        <v/>
      </c>
      <c r="I47" s="35" t="str">
        <f aca="false">IF(G47=0,"",G47*1.1)</f>
        <v/>
      </c>
      <c r="J47" s="36"/>
      <c r="K47" s="36"/>
      <c r="L47" s="36"/>
      <c r="M47" s="37" t="n">
        <v>0</v>
      </c>
      <c r="N47" s="36"/>
      <c r="O47" s="5"/>
    </row>
    <row r="48" customFormat="false" ht="15.75" hidden="false" customHeight="true" outlineLevel="0" collapsed="false">
      <c r="B48" s="32"/>
      <c r="C48" s="32"/>
      <c r="D48" s="33"/>
      <c r="E48" s="32"/>
      <c r="F48" s="32"/>
      <c r="G48" s="34" t="n">
        <v>0</v>
      </c>
      <c r="H48" s="48" t="str">
        <f aca="false">IF(G48=0,"",G48*0.1)</f>
        <v/>
      </c>
      <c r="I48" s="35" t="str">
        <f aca="false">IF(G48=0,"",G48*1.1)</f>
        <v/>
      </c>
      <c r="J48" s="32"/>
      <c r="K48" s="32"/>
      <c r="L48" s="32"/>
      <c r="M48" s="34" t="n">
        <v>0</v>
      </c>
      <c r="N48" s="32"/>
      <c r="O48" s="13"/>
    </row>
    <row r="49" customFormat="false" ht="15.75" hidden="false" customHeight="true" outlineLevel="0" collapsed="false">
      <c r="B49" s="36"/>
      <c r="C49" s="36"/>
      <c r="D49" s="4"/>
      <c r="E49" s="36"/>
      <c r="F49" s="36"/>
      <c r="G49" s="37" t="n">
        <v>0</v>
      </c>
      <c r="H49" s="49" t="str">
        <f aca="false">IF(G49=0,"",G49*0.1)</f>
        <v/>
      </c>
      <c r="I49" s="35" t="str">
        <f aca="false">IF(G49=0,"",G49*1.1)</f>
        <v/>
      </c>
      <c r="J49" s="36"/>
      <c r="K49" s="36"/>
      <c r="L49" s="36"/>
      <c r="M49" s="37" t="n">
        <v>0</v>
      </c>
      <c r="N49" s="36"/>
      <c r="O49" s="5"/>
    </row>
    <row r="50" customFormat="false" ht="15.75" hidden="false" customHeight="true" outlineLevel="0" collapsed="false">
      <c r="B50" s="32"/>
      <c r="C50" s="32"/>
      <c r="D50" s="33"/>
      <c r="E50" s="32"/>
      <c r="F50" s="32"/>
      <c r="G50" s="34" t="n">
        <v>0</v>
      </c>
      <c r="H50" s="48" t="str">
        <f aca="false">IF(G50=0,"",G50*0.1)</f>
        <v/>
      </c>
      <c r="I50" s="35" t="str">
        <f aca="false">IF(G50=0,"",G50*1.1)</f>
        <v/>
      </c>
      <c r="J50" s="32"/>
      <c r="K50" s="32"/>
      <c r="L50" s="32"/>
      <c r="M50" s="34" t="n">
        <v>0</v>
      </c>
      <c r="N50" s="32"/>
      <c r="O50" s="13"/>
    </row>
    <row r="51" customFormat="false" ht="15.75" hidden="false" customHeight="true" outlineLevel="0" collapsed="false">
      <c r="B51" s="36"/>
      <c r="C51" s="36"/>
      <c r="D51" s="4"/>
      <c r="E51" s="36"/>
      <c r="F51" s="36"/>
      <c r="G51" s="37" t="n">
        <v>0</v>
      </c>
      <c r="H51" s="49" t="str">
        <f aca="false">IF(G51=0,"",G51*0.1)</f>
        <v/>
      </c>
      <c r="I51" s="35" t="str">
        <f aca="false">IF(G51=0,"",G51*1.1)</f>
        <v/>
      </c>
      <c r="J51" s="36"/>
      <c r="K51" s="36"/>
      <c r="L51" s="36"/>
      <c r="M51" s="37" t="n">
        <v>0</v>
      </c>
      <c r="N51" s="36"/>
      <c r="O51" s="5"/>
    </row>
    <row r="52" customFormat="false" ht="15.75" hidden="false" customHeight="true" outlineLevel="0" collapsed="false">
      <c r="B52" s="32"/>
      <c r="C52" s="32"/>
      <c r="D52" s="33"/>
      <c r="E52" s="32"/>
      <c r="F52" s="32"/>
      <c r="G52" s="34" t="n">
        <v>0</v>
      </c>
      <c r="H52" s="48" t="str">
        <f aca="false">IF(G52=0,"",G52*0.1)</f>
        <v/>
      </c>
      <c r="I52" s="35" t="str">
        <f aca="false">IF(G52=0,"",G52*1.1)</f>
        <v/>
      </c>
      <c r="J52" s="32"/>
      <c r="K52" s="32"/>
      <c r="L52" s="32"/>
      <c r="M52" s="34" t="n">
        <v>0</v>
      </c>
      <c r="N52" s="32"/>
      <c r="O52" s="13"/>
    </row>
    <row r="53" customFormat="false" ht="15.75" hidden="false" customHeight="true" outlineLevel="0" collapsed="false">
      <c r="B53" s="36"/>
      <c r="C53" s="36"/>
      <c r="D53" s="4"/>
      <c r="E53" s="36"/>
      <c r="F53" s="36"/>
      <c r="G53" s="37" t="n">
        <v>0</v>
      </c>
      <c r="H53" s="49" t="str">
        <f aca="false">IF(G53=0,"",G53*0.1)</f>
        <v/>
      </c>
      <c r="I53" s="35" t="str">
        <f aca="false">IF(G53=0,"",G53*1.1)</f>
        <v/>
      </c>
      <c r="J53" s="36"/>
      <c r="K53" s="36"/>
      <c r="L53" s="36"/>
      <c r="M53" s="37" t="n">
        <v>0</v>
      </c>
      <c r="N53" s="36"/>
      <c r="O53" s="5"/>
    </row>
    <row r="54" customFormat="false" ht="15.75" hidden="false" customHeight="true" outlineLevel="0" collapsed="false">
      <c r="B54" s="32"/>
      <c r="C54" s="32"/>
      <c r="D54" s="33"/>
      <c r="E54" s="32"/>
      <c r="F54" s="32"/>
      <c r="G54" s="34" t="n">
        <v>0</v>
      </c>
      <c r="H54" s="48" t="str">
        <f aca="false">IF(G54=0,"",G54*0.1)</f>
        <v/>
      </c>
      <c r="I54" s="35" t="str">
        <f aca="false">IF(G54=0,"",G54*1.1)</f>
        <v/>
      </c>
      <c r="J54" s="32"/>
      <c r="K54" s="32"/>
      <c r="L54" s="32"/>
      <c r="M54" s="34" t="n">
        <v>0</v>
      </c>
      <c r="N54" s="32"/>
      <c r="O54" s="13"/>
    </row>
    <row r="55" customFormat="false" ht="15.75" hidden="false" customHeight="true" outlineLevel="0" collapsed="false">
      <c r="B55" s="36"/>
      <c r="C55" s="36"/>
      <c r="D55" s="4"/>
      <c r="E55" s="36"/>
      <c r="F55" s="36"/>
      <c r="G55" s="37" t="n">
        <v>0</v>
      </c>
      <c r="H55" s="49" t="str">
        <f aca="false">IF(G55=0,"",G55*0.1)</f>
        <v/>
      </c>
      <c r="I55" s="35" t="str">
        <f aca="false">IF(G55=0,"",G55*1.1)</f>
        <v/>
      </c>
      <c r="J55" s="36"/>
      <c r="K55" s="36"/>
      <c r="L55" s="36"/>
      <c r="M55" s="37" t="n">
        <v>0</v>
      </c>
      <c r="N55" s="36"/>
      <c r="O55" s="5"/>
    </row>
    <row r="56" customFormat="false" ht="15.75" hidden="false" customHeight="true" outlineLevel="0" collapsed="false">
      <c r="B56" s="32"/>
      <c r="C56" s="32"/>
      <c r="D56" s="33"/>
      <c r="E56" s="32"/>
      <c r="F56" s="32"/>
      <c r="G56" s="34" t="n">
        <v>0</v>
      </c>
      <c r="H56" s="48" t="str">
        <f aca="false">IF(G56=0,"",G56*0.1)</f>
        <v/>
      </c>
      <c r="I56" s="35" t="str">
        <f aca="false">IF(G56=0,"",G56*1.1)</f>
        <v/>
      </c>
      <c r="J56" s="32"/>
      <c r="K56" s="32"/>
      <c r="L56" s="32"/>
      <c r="M56" s="34" t="n">
        <v>0</v>
      </c>
      <c r="N56" s="32"/>
      <c r="O56" s="13"/>
    </row>
    <row r="57" customFormat="false" ht="15.75" hidden="false" customHeight="true" outlineLevel="0" collapsed="false">
      <c r="B57" s="36"/>
      <c r="C57" s="36"/>
      <c r="D57" s="4"/>
      <c r="E57" s="36"/>
      <c r="F57" s="36"/>
      <c r="G57" s="37" t="n">
        <v>0</v>
      </c>
      <c r="H57" s="49" t="str">
        <f aca="false">IF(G57=0,"",G57*0.1)</f>
        <v/>
      </c>
      <c r="I57" s="35" t="str">
        <f aca="false">IF(G57=0,"",G57*1.1)</f>
        <v/>
      </c>
      <c r="J57" s="36"/>
      <c r="K57" s="36"/>
      <c r="L57" s="36"/>
      <c r="M57" s="37" t="n">
        <v>0</v>
      </c>
      <c r="N57" s="36"/>
      <c r="O57" s="5"/>
    </row>
    <row r="58" customFormat="false" ht="15.75" hidden="false" customHeight="true" outlineLevel="0" collapsed="false">
      <c r="B58" s="32"/>
      <c r="C58" s="32"/>
      <c r="D58" s="33"/>
      <c r="E58" s="32"/>
      <c r="F58" s="32"/>
      <c r="G58" s="34" t="n">
        <v>0</v>
      </c>
      <c r="H58" s="48" t="str">
        <f aca="false">IF(G58=0,"",G58*0.1)</f>
        <v/>
      </c>
      <c r="I58" s="35" t="str">
        <f aca="false">IF(G58=0,"",G58*1.1)</f>
        <v/>
      </c>
      <c r="J58" s="32"/>
      <c r="K58" s="32"/>
      <c r="L58" s="32"/>
      <c r="M58" s="34" t="n">
        <v>0</v>
      </c>
      <c r="N58" s="32"/>
      <c r="O58" s="13"/>
    </row>
    <row r="59" customFormat="false" ht="15.75" hidden="false" customHeight="true" outlineLevel="0" collapsed="false">
      <c r="B59" s="36"/>
      <c r="C59" s="36"/>
      <c r="D59" s="4"/>
      <c r="E59" s="36"/>
      <c r="F59" s="36"/>
      <c r="G59" s="37" t="n">
        <v>0</v>
      </c>
      <c r="H59" s="49" t="str">
        <f aca="false">IF(G59=0,"",G59*0.1)</f>
        <v/>
      </c>
      <c r="I59" s="35" t="str">
        <f aca="false">IF(G59=0,"",G59*1.1)</f>
        <v/>
      </c>
      <c r="J59" s="36"/>
      <c r="K59" s="36"/>
      <c r="L59" s="36"/>
      <c r="M59" s="37" t="n">
        <v>0</v>
      </c>
      <c r="N59" s="36"/>
      <c r="O59" s="5"/>
    </row>
    <row r="60" customFormat="false" ht="15.75" hidden="false" customHeight="true" outlineLevel="0" collapsed="false">
      <c r="B60" s="32"/>
      <c r="C60" s="32"/>
      <c r="D60" s="33"/>
      <c r="E60" s="32"/>
      <c r="F60" s="32"/>
      <c r="G60" s="34" t="n">
        <v>0</v>
      </c>
      <c r="H60" s="48" t="str">
        <f aca="false">IF(G60=0,"",G60*0.1)</f>
        <v/>
      </c>
      <c r="I60" s="35" t="str">
        <f aca="false">IF(G60=0,"",G60*1.1)</f>
        <v/>
      </c>
      <c r="J60" s="32"/>
      <c r="K60" s="32"/>
      <c r="L60" s="32"/>
      <c r="M60" s="34" t="n">
        <v>0</v>
      </c>
      <c r="N60" s="32"/>
      <c r="O60" s="13"/>
    </row>
    <row r="61" customFormat="false" ht="15.75" hidden="false" customHeight="true" outlineLevel="0" collapsed="false">
      <c r="B61" s="36"/>
      <c r="C61" s="36"/>
      <c r="D61" s="4"/>
      <c r="E61" s="36"/>
      <c r="F61" s="36"/>
      <c r="G61" s="37" t="n">
        <v>0</v>
      </c>
      <c r="H61" s="49" t="str">
        <f aca="false">IF(G61=0,"",G61*0.1)</f>
        <v/>
      </c>
      <c r="I61" s="35" t="str">
        <f aca="false">IF(G61=0,"",G61*1.1)</f>
        <v/>
      </c>
      <c r="J61" s="36"/>
      <c r="K61" s="36"/>
      <c r="L61" s="36"/>
      <c r="M61" s="37" t="n">
        <v>0</v>
      </c>
      <c r="N61" s="36"/>
      <c r="O61" s="5"/>
    </row>
    <row r="62" customFormat="false" ht="15.75" hidden="false" customHeight="true" outlineLevel="0" collapsed="false">
      <c r="B62" s="32"/>
      <c r="C62" s="32"/>
      <c r="D62" s="33"/>
      <c r="E62" s="32"/>
      <c r="F62" s="32"/>
      <c r="G62" s="34" t="n">
        <v>0</v>
      </c>
      <c r="H62" s="48" t="str">
        <f aca="false">IF(G62=0,"",G62*0.1)</f>
        <v/>
      </c>
      <c r="I62" s="35" t="str">
        <f aca="false">IF(G62=0,"",G62*1.1)</f>
        <v/>
      </c>
      <c r="J62" s="32"/>
      <c r="K62" s="32"/>
      <c r="L62" s="32"/>
      <c r="M62" s="34" t="n">
        <v>0</v>
      </c>
      <c r="N62" s="32"/>
      <c r="O62" s="13"/>
    </row>
    <row r="63" customFormat="false" ht="15.75" hidden="false" customHeight="true" outlineLevel="0" collapsed="false">
      <c r="B63" s="36"/>
      <c r="C63" s="36"/>
      <c r="D63" s="4"/>
      <c r="E63" s="36"/>
      <c r="F63" s="36"/>
      <c r="G63" s="37" t="n">
        <v>0</v>
      </c>
      <c r="H63" s="49" t="str">
        <f aca="false">IF(G63=0,"",G63*0.1)</f>
        <v/>
      </c>
      <c r="I63" s="35" t="str">
        <f aca="false">IF(G63=0,"",G63*1.1)</f>
        <v/>
      </c>
      <c r="J63" s="36"/>
      <c r="K63" s="36"/>
      <c r="L63" s="36"/>
      <c r="M63" s="37" t="n">
        <v>0</v>
      </c>
      <c r="N63" s="36"/>
      <c r="O63" s="5"/>
    </row>
    <row r="64" customFormat="false" ht="15.75" hidden="false" customHeight="true" outlineLevel="0" collapsed="false">
      <c r="B64" s="32"/>
      <c r="C64" s="32"/>
      <c r="D64" s="33"/>
      <c r="E64" s="32"/>
      <c r="F64" s="32"/>
      <c r="G64" s="34" t="n">
        <v>0</v>
      </c>
      <c r="H64" s="48" t="str">
        <f aca="false">IF(G64=0,"",G64*0.1)</f>
        <v/>
      </c>
      <c r="I64" s="35" t="str">
        <f aca="false">IF(G64=0,"",G64*1.1)</f>
        <v/>
      </c>
      <c r="J64" s="32"/>
      <c r="K64" s="32"/>
      <c r="L64" s="32"/>
      <c r="M64" s="34" t="n">
        <v>0</v>
      </c>
      <c r="N64" s="32"/>
      <c r="O64" s="13"/>
    </row>
    <row r="65" customFormat="false" ht="15.75" hidden="false" customHeight="true" outlineLevel="0" collapsed="false">
      <c r="B65" s="36"/>
      <c r="C65" s="36"/>
      <c r="D65" s="4"/>
      <c r="E65" s="36"/>
      <c r="F65" s="36"/>
      <c r="G65" s="37" t="n">
        <v>0</v>
      </c>
      <c r="H65" s="49" t="str">
        <f aca="false">IF(G65=0,"",G65*0.1)</f>
        <v/>
      </c>
      <c r="I65" s="35" t="str">
        <f aca="false">IF(G65=0,"",G65*1.1)</f>
        <v/>
      </c>
      <c r="J65" s="36"/>
      <c r="K65" s="36"/>
      <c r="L65" s="36"/>
      <c r="M65" s="37" t="n">
        <v>0</v>
      </c>
      <c r="N65" s="36"/>
      <c r="O65" s="5"/>
    </row>
    <row r="66" customFormat="false" ht="15.75" hidden="false" customHeight="true" outlineLevel="0" collapsed="false">
      <c r="B66" s="32"/>
      <c r="C66" s="32"/>
      <c r="D66" s="33"/>
      <c r="E66" s="32"/>
      <c r="F66" s="32"/>
      <c r="G66" s="34" t="n">
        <v>0</v>
      </c>
      <c r="H66" s="48" t="str">
        <f aca="false">IF(G66=0,"",G66*0.1)</f>
        <v/>
      </c>
      <c r="I66" s="35" t="str">
        <f aca="false">IF(G66=0,"",G66*1.1)</f>
        <v/>
      </c>
      <c r="J66" s="32"/>
      <c r="K66" s="32"/>
      <c r="L66" s="32"/>
      <c r="M66" s="34" t="n">
        <v>0</v>
      </c>
      <c r="N66" s="32"/>
      <c r="O66" s="13"/>
    </row>
    <row r="67" customFormat="false" ht="15.75" hidden="false" customHeight="true" outlineLevel="0" collapsed="false">
      <c r="B67" s="36"/>
      <c r="C67" s="36"/>
      <c r="D67" s="4"/>
      <c r="E67" s="36"/>
      <c r="F67" s="36"/>
      <c r="G67" s="37" t="n">
        <v>0</v>
      </c>
      <c r="H67" s="49" t="str">
        <f aca="false">IF(G67=0,"",G67*0.1)</f>
        <v/>
      </c>
      <c r="I67" s="35" t="str">
        <f aca="false">IF(G67=0,"",G67*1.1)</f>
        <v/>
      </c>
      <c r="J67" s="36"/>
      <c r="K67" s="36"/>
      <c r="L67" s="36"/>
      <c r="M67" s="37" t="n">
        <v>0</v>
      </c>
      <c r="N67" s="36"/>
      <c r="O67" s="5"/>
    </row>
    <row r="68" customFormat="false" ht="15.75" hidden="false" customHeight="true" outlineLevel="0" collapsed="false">
      <c r="B68" s="32"/>
      <c r="C68" s="32"/>
      <c r="D68" s="33"/>
      <c r="E68" s="32"/>
      <c r="F68" s="32"/>
      <c r="G68" s="34" t="n">
        <v>0</v>
      </c>
      <c r="H68" s="48" t="str">
        <f aca="false">IF(G68=0,"",G68*0.1)</f>
        <v/>
      </c>
      <c r="I68" s="35" t="str">
        <f aca="false">IF(G68=0,"",G68*1.1)</f>
        <v/>
      </c>
      <c r="J68" s="32"/>
      <c r="K68" s="32"/>
      <c r="L68" s="32"/>
      <c r="M68" s="34" t="n">
        <v>0</v>
      </c>
      <c r="N68" s="32"/>
      <c r="O68" s="13"/>
    </row>
    <row r="69" customFormat="false" ht="15.75" hidden="false" customHeight="true" outlineLevel="0" collapsed="false">
      <c r="B69" s="36"/>
      <c r="C69" s="36"/>
      <c r="D69" s="4"/>
      <c r="E69" s="36"/>
      <c r="F69" s="36"/>
      <c r="G69" s="37" t="n">
        <v>0</v>
      </c>
      <c r="H69" s="49" t="str">
        <f aca="false">IF(G69=0,"",G69*0.1)</f>
        <v/>
      </c>
      <c r="I69" s="35" t="str">
        <f aca="false">IF(G69=0,"",G69*1.1)</f>
        <v/>
      </c>
      <c r="J69" s="36"/>
      <c r="K69" s="36"/>
      <c r="L69" s="36"/>
      <c r="M69" s="37" t="n">
        <v>0</v>
      </c>
      <c r="N69" s="36"/>
      <c r="O69" s="5"/>
    </row>
    <row r="70" customFormat="false" ht="15.75" hidden="false" customHeight="true" outlineLevel="0" collapsed="false">
      <c r="B70" s="32"/>
      <c r="C70" s="32"/>
      <c r="D70" s="33"/>
      <c r="E70" s="32"/>
      <c r="F70" s="32"/>
      <c r="G70" s="34" t="n">
        <v>0</v>
      </c>
      <c r="H70" s="48" t="str">
        <f aca="false">IF(G70=0,"",G70*0.1)</f>
        <v/>
      </c>
      <c r="I70" s="35" t="str">
        <f aca="false">IF(G70=0,"",G70*1.1)</f>
        <v/>
      </c>
      <c r="J70" s="32"/>
      <c r="K70" s="32"/>
      <c r="L70" s="32"/>
      <c r="M70" s="34" t="n">
        <v>0</v>
      </c>
      <c r="N70" s="32"/>
      <c r="O70" s="13"/>
    </row>
    <row r="71" customFormat="false" ht="15.75" hidden="false" customHeight="true" outlineLevel="0" collapsed="false">
      <c r="B71" s="36"/>
      <c r="C71" s="36"/>
      <c r="D71" s="4"/>
      <c r="E71" s="36"/>
      <c r="F71" s="36"/>
      <c r="G71" s="37" t="n">
        <v>0</v>
      </c>
      <c r="H71" s="49" t="str">
        <f aca="false">IF(G71=0,"",G71*0.1)</f>
        <v/>
      </c>
      <c r="I71" s="35" t="str">
        <f aca="false">IF(G71=0,"",G71*1.1)</f>
        <v/>
      </c>
      <c r="J71" s="36"/>
      <c r="K71" s="36"/>
      <c r="L71" s="36"/>
      <c r="M71" s="37" t="n">
        <v>0</v>
      </c>
      <c r="N71" s="36"/>
      <c r="O71" s="5"/>
    </row>
    <row r="72" customFormat="false" ht="15.75" hidden="false" customHeight="true" outlineLevel="0" collapsed="false">
      <c r="B72" s="32"/>
      <c r="C72" s="32"/>
      <c r="D72" s="33"/>
      <c r="E72" s="32"/>
      <c r="F72" s="32"/>
      <c r="G72" s="34" t="n">
        <v>0</v>
      </c>
      <c r="H72" s="48" t="str">
        <f aca="false">IF(G72=0,"",G72*0.1)</f>
        <v/>
      </c>
      <c r="I72" s="35" t="str">
        <f aca="false">IF(G72=0,"",G72*1.1)</f>
        <v/>
      </c>
      <c r="J72" s="32"/>
      <c r="K72" s="32"/>
      <c r="L72" s="32"/>
      <c r="M72" s="34" t="n">
        <v>0</v>
      </c>
      <c r="N72" s="32"/>
      <c r="O72" s="13"/>
    </row>
    <row r="73" customFormat="false" ht="15.75" hidden="false" customHeight="true" outlineLevel="0" collapsed="false">
      <c r="B73" s="36"/>
      <c r="C73" s="36"/>
      <c r="D73" s="4"/>
      <c r="E73" s="36"/>
      <c r="F73" s="36"/>
      <c r="G73" s="37" t="n">
        <v>0</v>
      </c>
      <c r="H73" s="49" t="str">
        <f aca="false">IF(G73=0,"",G73*0.1)</f>
        <v/>
      </c>
      <c r="I73" s="35" t="str">
        <f aca="false">IF(G73=0,"",G73*1.1)</f>
        <v/>
      </c>
      <c r="J73" s="36"/>
      <c r="K73" s="36"/>
      <c r="L73" s="36"/>
      <c r="M73" s="37" t="n">
        <v>0</v>
      </c>
      <c r="N73" s="36"/>
      <c r="O73" s="5"/>
    </row>
    <row r="74" customFormat="false" ht="15.75" hidden="false" customHeight="true" outlineLevel="0" collapsed="false">
      <c r="B74" s="32"/>
      <c r="C74" s="32"/>
      <c r="D74" s="33"/>
      <c r="E74" s="32"/>
      <c r="F74" s="32"/>
      <c r="G74" s="34" t="n">
        <v>0</v>
      </c>
      <c r="H74" s="48" t="str">
        <f aca="false">IF(G74=0,"",G74*0.1)</f>
        <v/>
      </c>
      <c r="I74" s="35" t="str">
        <f aca="false">IF(G74=0,"",G74*1.1)</f>
        <v/>
      </c>
      <c r="J74" s="32"/>
      <c r="K74" s="32"/>
      <c r="L74" s="32"/>
      <c r="M74" s="34" t="n">
        <v>0</v>
      </c>
      <c r="N74" s="32"/>
      <c r="O74" s="13"/>
    </row>
    <row r="75" customFormat="false" ht="15.75" hidden="false" customHeight="true" outlineLevel="0" collapsed="false">
      <c r="B75" s="36"/>
      <c r="C75" s="36"/>
      <c r="D75" s="4"/>
      <c r="E75" s="36"/>
      <c r="F75" s="36"/>
      <c r="G75" s="37" t="n">
        <v>0</v>
      </c>
      <c r="H75" s="49" t="str">
        <f aca="false">IF(G75=0,"",G75*0.1)</f>
        <v/>
      </c>
      <c r="I75" s="35" t="str">
        <f aca="false">IF(G75=0,"",G75*1.1)</f>
        <v/>
      </c>
      <c r="J75" s="36"/>
      <c r="K75" s="36"/>
      <c r="L75" s="36"/>
      <c r="M75" s="37" t="n">
        <v>0</v>
      </c>
      <c r="N75" s="36"/>
      <c r="O75" s="5"/>
    </row>
    <row r="76" customFormat="false" ht="15.75" hidden="false" customHeight="true" outlineLevel="0" collapsed="false">
      <c r="B76" s="32"/>
      <c r="C76" s="32"/>
      <c r="D76" s="33"/>
      <c r="E76" s="32"/>
      <c r="F76" s="32"/>
      <c r="G76" s="34" t="n">
        <v>0</v>
      </c>
      <c r="H76" s="48" t="str">
        <f aca="false">IF(G76=0,"",G76*0.1)</f>
        <v/>
      </c>
      <c r="I76" s="35" t="str">
        <f aca="false">IF(G76=0,"",G76*1.1)</f>
        <v/>
      </c>
      <c r="J76" s="32"/>
      <c r="K76" s="32"/>
      <c r="L76" s="32"/>
      <c r="M76" s="34" t="n">
        <v>0</v>
      </c>
      <c r="N76" s="32"/>
      <c r="O76" s="13"/>
    </row>
    <row r="77" customFormat="false" ht="15.75" hidden="false" customHeight="true" outlineLevel="0" collapsed="false">
      <c r="B77" s="36"/>
      <c r="C77" s="36"/>
      <c r="D77" s="4"/>
      <c r="E77" s="36"/>
      <c r="F77" s="36"/>
      <c r="G77" s="37" t="n">
        <v>0</v>
      </c>
      <c r="H77" s="49" t="str">
        <f aca="false">IF(G77=0,"",G77*0.1)</f>
        <v/>
      </c>
      <c r="I77" s="35" t="str">
        <f aca="false">IF(G77=0,"",G77*1.1)</f>
        <v/>
      </c>
      <c r="J77" s="36"/>
      <c r="K77" s="36"/>
      <c r="L77" s="36"/>
      <c r="M77" s="37" t="n">
        <v>0</v>
      </c>
      <c r="N77" s="36"/>
      <c r="O77" s="5"/>
    </row>
    <row r="78" customFormat="false" ht="15.75" hidden="false" customHeight="true" outlineLevel="0" collapsed="false">
      <c r="B78" s="32"/>
      <c r="C78" s="32"/>
      <c r="D78" s="33"/>
      <c r="E78" s="32"/>
      <c r="F78" s="32"/>
      <c r="G78" s="34" t="n">
        <v>0</v>
      </c>
      <c r="H78" s="48" t="str">
        <f aca="false">IF(G78=0,"",G78*0.1)</f>
        <v/>
      </c>
      <c r="I78" s="35" t="str">
        <f aca="false">IF(G78=0,"",G78*1.1)</f>
        <v/>
      </c>
      <c r="J78" s="32"/>
      <c r="K78" s="32"/>
      <c r="L78" s="32"/>
      <c r="M78" s="34" t="n">
        <v>0</v>
      </c>
      <c r="N78" s="32"/>
      <c r="O78" s="13"/>
    </row>
    <row r="79" customFormat="false" ht="15.75" hidden="false" customHeight="true" outlineLevel="0" collapsed="false">
      <c r="B79" s="36"/>
      <c r="C79" s="36"/>
      <c r="D79" s="4"/>
      <c r="E79" s="36"/>
      <c r="F79" s="36"/>
      <c r="G79" s="37" t="n">
        <v>0</v>
      </c>
      <c r="H79" s="49" t="str">
        <f aca="false">IF(G79=0,"",G79*0.1)</f>
        <v/>
      </c>
      <c r="I79" s="35" t="str">
        <f aca="false">IF(G79=0,"",G79*1.1)</f>
        <v/>
      </c>
      <c r="J79" s="36"/>
      <c r="K79" s="36"/>
      <c r="L79" s="36"/>
      <c r="M79" s="37" t="n">
        <v>0</v>
      </c>
      <c r="N79" s="36"/>
      <c r="O79" s="5"/>
    </row>
    <row r="80" customFormat="false" ht="15.75" hidden="false" customHeight="true" outlineLevel="0" collapsed="false">
      <c r="B80" s="32"/>
      <c r="C80" s="32"/>
      <c r="D80" s="33"/>
      <c r="E80" s="32"/>
      <c r="F80" s="32"/>
      <c r="G80" s="34" t="n">
        <v>0</v>
      </c>
      <c r="H80" s="48" t="str">
        <f aca="false">IF(G80=0,"",G80*0.1)</f>
        <v/>
      </c>
      <c r="I80" s="35" t="str">
        <f aca="false">IF(G80=0,"",G80*1.1)</f>
        <v/>
      </c>
      <c r="J80" s="32"/>
      <c r="K80" s="32"/>
      <c r="L80" s="32"/>
      <c r="M80" s="34" t="n">
        <v>0</v>
      </c>
      <c r="N80" s="32"/>
      <c r="O80" s="13"/>
    </row>
    <row r="81" customFormat="false" ht="15.75" hidden="false" customHeight="true" outlineLevel="0" collapsed="false">
      <c r="B81" s="36"/>
      <c r="C81" s="36"/>
      <c r="D81" s="4"/>
      <c r="E81" s="36"/>
      <c r="F81" s="36"/>
      <c r="G81" s="37" t="n">
        <v>0</v>
      </c>
      <c r="H81" s="49" t="str">
        <f aca="false">IF(G81=0,"",G81*0.1)</f>
        <v/>
      </c>
      <c r="I81" s="35" t="str">
        <f aca="false">IF(G81=0,"",G81*1.1)</f>
        <v/>
      </c>
      <c r="J81" s="36"/>
      <c r="K81" s="36"/>
      <c r="L81" s="36"/>
      <c r="M81" s="37" t="n">
        <v>0</v>
      </c>
      <c r="N81" s="36"/>
      <c r="O81" s="5"/>
    </row>
    <row r="82" customFormat="false" ht="15.75" hidden="false" customHeight="true" outlineLevel="0" collapsed="false">
      <c r="B82" s="32"/>
      <c r="C82" s="32"/>
      <c r="D82" s="33"/>
      <c r="E82" s="32"/>
      <c r="F82" s="32"/>
      <c r="G82" s="34" t="n">
        <v>0</v>
      </c>
      <c r="H82" s="48" t="str">
        <f aca="false">IF(G82=0,"",G82*0.1)</f>
        <v/>
      </c>
      <c r="I82" s="35" t="str">
        <f aca="false">IF(G82=0,"",G82*1.1)</f>
        <v/>
      </c>
      <c r="J82" s="32"/>
      <c r="K82" s="32"/>
      <c r="L82" s="32"/>
      <c r="M82" s="34" t="n">
        <v>0</v>
      </c>
      <c r="N82" s="32"/>
      <c r="O82" s="13"/>
    </row>
    <row r="83" customFormat="false" ht="15.75" hidden="false" customHeight="true" outlineLevel="0" collapsed="false">
      <c r="B83" s="36"/>
      <c r="C83" s="36"/>
      <c r="D83" s="4"/>
      <c r="E83" s="36"/>
      <c r="F83" s="36"/>
      <c r="G83" s="37" t="n">
        <v>0</v>
      </c>
      <c r="H83" s="49" t="str">
        <f aca="false">IF(G83=0,"",G83*0.1)</f>
        <v/>
      </c>
      <c r="I83" s="35" t="str">
        <f aca="false">IF(G83=0,"",G83*1.1)</f>
        <v/>
      </c>
      <c r="J83" s="36"/>
      <c r="K83" s="36"/>
      <c r="L83" s="36"/>
      <c r="M83" s="37" t="n">
        <v>0</v>
      </c>
      <c r="N83" s="36"/>
      <c r="O83" s="5"/>
    </row>
    <row r="84" customFormat="false" ht="15.75" hidden="false" customHeight="true" outlineLevel="0" collapsed="false">
      <c r="B84" s="32"/>
      <c r="C84" s="32"/>
      <c r="D84" s="33"/>
      <c r="E84" s="32"/>
      <c r="F84" s="32"/>
      <c r="G84" s="34" t="n">
        <v>0</v>
      </c>
      <c r="H84" s="48" t="str">
        <f aca="false">IF(G84=0,"",G84*0.1)</f>
        <v/>
      </c>
      <c r="I84" s="35" t="str">
        <f aca="false">IF(G84=0,"",G84*1.1)</f>
        <v/>
      </c>
      <c r="J84" s="32"/>
      <c r="K84" s="32"/>
      <c r="L84" s="32"/>
      <c r="M84" s="34" t="n">
        <v>0</v>
      </c>
      <c r="N84" s="32"/>
      <c r="O84" s="13"/>
    </row>
    <row r="85" customFormat="false" ht="15.75" hidden="false" customHeight="true" outlineLevel="0" collapsed="false">
      <c r="B85" s="36"/>
      <c r="C85" s="36"/>
      <c r="D85" s="4"/>
      <c r="E85" s="36"/>
      <c r="F85" s="36"/>
      <c r="G85" s="37" t="n">
        <v>0</v>
      </c>
      <c r="H85" s="49" t="str">
        <f aca="false">IF(G85=0,"",G85*0.1)</f>
        <v/>
      </c>
      <c r="I85" s="35" t="str">
        <f aca="false">IF(G85=0,"",G85*1.1)</f>
        <v/>
      </c>
      <c r="J85" s="36"/>
      <c r="K85" s="36"/>
      <c r="L85" s="36"/>
      <c r="M85" s="37" t="n">
        <v>0</v>
      </c>
      <c r="N85" s="36"/>
      <c r="O85" s="5"/>
    </row>
    <row r="86" customFormat="false" ht="15.75" hidden="false" customHeight="true" outlineLevel="0" collapsed="false">
      <c r="B86" s="32"/>
      <c r="C86" s="32"/>
      <c r="D86" s="33"/>
      <c r="E86" s="32"/>
      <c r="F86" s="32"/>
      <c r="G86" s="34" t="n">
        <v>0</v>
      </c>
      <c r="H86" s="48" t="str">
        <f aca="false">IF(G86=0,"",G86*0.1)</f>
        <v/>
      </c>
      <c r="I86" s="35" t="str">
        <f aca="false">IF(G86=0,"",G86*1.1)</f>
        <v/>
      </c>
      <c r="J86" s="32"/>
      <c r="K86" s="32"/>
      <c r="L86" s="32"/>
      <c r="M86" s="34" t="n">
        <v>0</v>
      </c>
      <c r="N86" s="32"/>
      <c r="O86" s="13"/>
    </row>
    <row r="87" customFormat="false" ht="15.75" hidden="false" customHeight="true" outlineLevel="0" collapsed="false">
      <c r="B87" s="36"/>
      <c r="C87" s="36"/>
      <c r="D87" s="4"/>
      <c r="E87" s="36"/>
      <c r="F87" s="36"/>
      <c r="G87" s="37" t="n">
        <v>0</v>
      </c>
      <c r="H87" s="49" t="str">
        <f aca="false">IF(G87=0,"",G87*0.1)</f>
        <v/>
      </c>
      <c r="I87" s="35" t="str">
        <f aca="false">IF(G87=0,"",G87*1.1)</f>
        <v/>
      </c>
      <c r="J87" s="36"/>
      <c r="K87" s="36"/>
      <c r="L87" s="36"/>
      <c r="M87" s="37" t="n">
        <v>0</v>
      </c>
      <c r="N87" s="36"/>
      <c r="O87" s="5"/>
    </row>
    <row r="88" customFormat="false" ht="15.75" hidden="false" customHeight="true" outlineLevel="0" collapsed="false">
      <c r="B88" s="32"/>
      <c r="C88" s="32"/>
      <c r="D88" s="33"/>
      <c r="E88" s="32"/>
      <c r="F88" s="32"/>
      <c r="G88" s="34" t="n">
        <v>0</v>
      </c>
      <c r="H88" s="48" t="str">
        <f aca="false">IF(G88=0,"",G88*0.1)</f>
        <v/>
      </c>
      <c r="I88" s="35" t="str">
        <f aca="false">IF(G88=0,"",G88*1.1)</f>
        <v/>
      </c>
      <c r="J88" s="32"/>
      <c r="K88" s="32"/>
      <c r="L88" s="32"/>
      <c r="M88" s="34" t="n">
        <v>0</v>
      </c>
      <c r="N88" s="32"/>
      <c r="O88" s="13"/>
    </row>
    <row r="89" customFormat="false" ht="15.75" hidden="false" customHeight="true" outlineLevel="0" collapsed="false">
      <c r="B89" s="36"/>
      <c r="C89" s="36"/>
      <c r="D89" s="4"/>
      <c r="E89" s="36"/>
      <c r="F89" s="36"/>
      <c r="G89" s="37" t="n">
        <v>0</v>
      </c>
      <c r="H89" s="49" t="str">
        <f aca="false">IF(G89=0,"",G89*0.1)</f>
        <v/>
      </c>
      <c r="I89" s="35" t="str">
        <f aca="false">IF(G89=0,"",G89*1.1)</f>
        <v/>
      </c>
      <c r="J89" s="36"/>
      <c r="K89" s="36"/>
      <c r="L89" s="36"/>
      <c r="M89" s="37" t="n">
        <v>0</v>
      </c>
      <c r="N89" s="36"/>
      <c r="O89" s="5"/>
    </row>
    <row r="90" customFormat="false" ht="15.75" hidden="false" customHeight="true" outlineLevel="0" collapsed="false">
      <c r="B90" s="32"/>
      <c r="C90" s="32"/>
      <c r="D90" s="33"/>
      <c r="E90" s="32"/>
      <c r="F90" s="32"/>
      <c r="G90" s="34" t="n">
        <v>0</v>
      </c>
      <c r="H90" s="48" t="str">
        <f aca="false">IF(G90=0,"",G90*0.1)</f>
        <v/>
      </c>
      <c r="I90" s="35" t="str">
        <f aca="false">IF(G90=0,"",G90*1.1)</f>
        <v/>
      </c>
      <c r="J90" s="32"/>
      <c r="K90" s="32"/>
      <c r="L90" s="32"/>
      <c r="M90" s="34" t="n">
        <v>0</v>
      </c>
      <c r="N90" s="32"/>
      <c r="O90" s="13"/>
    </row>
    <row r="91" customFormat="false" ht="15.75" hidden="false" customHeight="true" outlineLevel="0" collapsed="false">
      <c r="B91" s="36"/>
      <c r="C91" s="36"/>
      <c r="D91" s="4"/>
      <c r="E91" s="36"/>
      <c r="F91" s="36"/>
      <c r="G91" s="37" t="n">
        <v>0</v>
      </c>
      <c r="H91" s="49" t="str">
        <f aca="false">IF(G91=0,"",G91*0.1)</f>
        <v/>
      </c>
      <c r="I91" s="35" t="str">
        <f aca="false">IF(G91=0,"",G91*1.1)</f>
        <v/>
      </c>
      <c r="J91" s="36"/>
      <c r="K91" s="36"/>
      <c r="L91" s="36"/>
      <c r="M91" s="37" t="n">
        <v>0</v>
      </c>
      <c r="N91" s="36"/>
      <c r="O91" s="5"/>
    </row>
    <row r="92" customFormat="false" ht="15.75" hidden="false" customHeight="true" outlineLevel="0" collapsed="false">
      <c r="B92" s="32"/>
      <c r="C92" s="32"/>
      <c r="D92" s="33"/>
      <c r="E92" s="32"/>
      <c r="F92" s="32"/>
      <c r="G92" s="34" t="n">
        <v>0</v>
      </c>
      <c r="H92" s="48" t="str">
        <f aca="false">IF(G92=0,"",G92*0.1)</f>
        <v/>
      </c>
      <c r="I92" s="35" t="str">
        <f aca="false">IF(G92=0,"",G92*1.1)</f>
        <v/>
      </c>
      <c r="J92" s="32"/>
      <c r="K92" s="32"/>
      <c r="L92" s="32"/>
      <c r="M92" s="34" t="n">
        <v>0</v>
      </c>
      <c r="N92" s="32"/>
      <c r="O92" s="13"/>
    </row>
    <row r="93" customFormat="false" ht="15.75" hidden="false" customHeight="true" outlineLevel="0" collapsed="false">
      <c r="B93" s="36"/>
      <c r="C93" s="36"/>
      <c r="D93" s="4"/>
      <c r="E93" s="36"/>
      <c r="F93" s="36"/>
      <c r="G93" s="37" t="n">
        <v>0</v>
      </c>
      <c r="H93" s="49" t="str">
        <f aca="false">IF(G93=0,"",G93*0.1)</f>
        <v/>
      </c>
      <c r="I93" s="35" t="str">
        <f aca="false">IF(G93=0,"",G93*1.1)</f>
        <v/>
      </c>
      <c r="J93" s="36"/>
      <c r="K93" s="36"/>
      <c r="L93" s="36"/>
      <c r="M93" s="37" t="n">
        <v>0</v>
      </c>
      <c r="N93" s="36"/>
      <c r="O93" s="5"/>
    </row>
    <row r="94" customFormat="false" ht="15.75" hidden="false" customHeight="true" outlineLevel="0" collapsed="false">
      <c r="B94" s="32"/>
      <c r="C94" s="32"/>
      <c r="D94" s="33"/>
      <c r="E94" s="32"/>
      <c r="F94" s="32"/>
      <c r="G94" s="34" t="n">
        <v>0</v>
      </c>
      <c r="H94" s="48" t="str">
        <f aca="false">IF(G94=0,"",G94*0.1)</f>
        <v/>
      </c>
      <c r="I94" s="35" t="str">
        <f aca="false">IF(G94=0,"",G94*1.1)</f>
        <v/>
      </c>
      <c r="J94" s="32"/>
      <c r="K94" s="32"/>
      <c r="L94" s="32"/>
      <c r="M94" s="34" t="n">
        <v>0</v>
      </c>
      <c r="N94" s="32"/>
      <c r="O94" s="13"/>
    </row>
    <row r="95" customFormat="false" ht="15.75" hidden="false" customHeight="true" outlineLevel="0" collapsed="false">
      <c r="B95" s="36"/>
      <c r="C95" s="36"/>
      <c r="D95" s="4"/>
      <c r="E95" s="36"/>
      <c r="F95" s="36"/>
      <c r="G95" s="37" t="n">
        <v>0</v>
      </c>
      <c r="H95" s="49" t="str">
        <f aca="false">IF(G95=0,"",G95*0.1)</f>
        <v/>
      </c>
      <c r="I95" s="35" t="str">
        <f aca="false">IF(G95=0,"",G95*1.1)</f>
        <v/>
      </c>
      <c r="J95" s="36"/>
      <c r="K95" s="36"/>
      <c r="L95" s="36"/>
      <c r="M95" s="37" t="n">
        <v>0</v>
      </c>
      <c r="N95" s="36"/>
      <c r="O95" s="5"/>
    </row>
    <row r="96" customFormat="false" ht="15.75" hidden="false" customHeight="true" outlineLevel="0" collapsed="false">
      <c r="B96" s="32"/>
      <c r="C96" s="32"/>
      <c r="D96" s="33"/>
      <c r="E96" s="32"/>
      <c r="F96" s="32"/>
      <c r="G96" s="34" t="n">
        <v>0</v>
      </c>
      <c r="H96" s="48" t="str">
        <f aca="false">IF(G96=0,"",G96*0.1)</f>
        <v/>
      </c>
      <c r="I96" s="35" t="str">
        <f aca="false">IF(G96=0,"",G96*1.1)</f>
        <v/>
      </c>
      <c r="J96" s="32"/>
      <c r="K96" s="32"/>
      <c r="L96" s="32"/>
      <c r="M96" s="34" t="n">
        <v>0</v>
      </c>
      <c r="N96" s="32"/>
      <c r="O96" s="13"/>
    </row>
    <row r="97" customFormat="false" ht="15.75" hidden="false" customHeight="true" outlineLevel="0" collapsed="false">
      <c r="B97" s="36"/>
      <c r="C97" s="36"/>
      <c r="D97" s="4"/>
      <c r="E97" s="36"/>
      <c r="F97" s="36"/>
      <c r="G97" s="37" t="n">
        <v>0</v>
      </c>
      <c r="H97" s="49" t="str">
        <f aca="false">IF(G97=0,"",G97*0.1)</f>
        <v/>
      </c>
      <c r="I97" s="35" t="str">
        <f aca="false">IF(G97=0,"",G97*1.1)</f>
        <v/>
      </c>
      <c r="J97" s="36"/>
      <c r="K97" s="36"/>
      <c r="L97" s="36"/>
      <c r="M97" s="37" t="n">
        <v>0</v>
      </c>
      <c r="N97" s="36"/>
      <c r="O97" s="5"/>
    </row>
    <row r="98" customFormat="false" ht="15.75" hidden="false" customHeight="true" outlineLevel="0" collapsed="false">
      <c r="B98" s="32"/>
      <c r="C98" s="32"/>
      <c r="D98" s="33"/>
      <c r="E98" s="32"/>
      <c r="F98" s="32"/>
      <c r="G98" s="34" t="n">
        <v>0</v>
      </c>
      <c r="H98" s="48" t="str">
        <f aca="false">IF(G98=0,"",G98*0.1)</f>
        <v/>
      </c>
      <c r="I98" s="35" t="str">
        <f aca="false">IF(G98=0,"",G98*1.1)</f>
        <v/>
      </c>
      <c r="J98" s="32"/>
      <c r="K98" s="32"/>
      <c r="L98" s="32"/>
      <c r="M98" s="34" t="n">
        <v>0</v>
      </c>
      <c r="N98" s="32"/>
      <c r="O98" s="13"/>
    </row>
    <row r="99" customFormat="false" ht="15.75" hidden="false" customHeight="true" outlineLevel="0" collapsed="false">
      <c r="B99" s="36"/>
      <c r="C99" s="36"/>
      <c r="D99" s="4"/>
      <c r="E99" s="36"/>
      <c r="F99" s="36"/>
      <c r="G99" s="37" t="n">
        <v>0</v>
      </c>
      <c r="H99" s="49" t="str">
        <f aca="false">IF(G99=0,"",G99*0.1)</f>
        <v/>
      </c>
      <c r="I99" s="35" t="str">
        <f aca="false">IF(G99=0,"",G99*1.1)</f>
        <v/>
      </c>
      <c r="J99" s="36"/>
      <c r="K99" s="36"/>
      <c r="L99" s="36"/>
      <c r="M99" s="37" t="n">
        <v>0</v>
      </c>
      <c r="N99" s="36"/>
      <c r="O99" s="5"/>
    </row>
    <row r="100" customFormat="false" ht="15.75" hidden="false" customHeight="true" outlineLevel="0" collapsed="false">
      <c r="B100" s="32"/>
      <c r="C100" s="32"/>
      <c r="D100" s="33"/>
      <c r="E100" s="32"/>
      <c r="F100" s="32"/>
      <c r="G100" s="34" t="n">
        <v>0</v>
      </c>
      <c r="H100" s="48" t="str">
        <f aca="false">IF(G100=0,"",G100*0.1)</f>
        <v/>
      </c>
      <c r="I100" s="35" t="str">
        <f aca="false">IF(G100=0,"",G100*1.1)</f>
        <v/>
      </c>
      <c r="J100" s="32"/>
      <c r="K100" s="32"/>
      <c r="L100" s="32"/>
      <c r="M100" s="34" t="n">
        <v>0</v>
      </c>
      <c r="N100" s="32"/>
      <c r="O100" s="13"/>
    </row>
    <row r="101" customFormat="false" ht="15.75" hidden="false" customHeight="true" outlineLevel="0" collapsed="false">
      <c r="B101" s="36"/>
      <c r="C101" s="36"/>
      <c r="D101" s="4"/>
      <c r="E101" s="36"/>
      <c r="F101" s="36"/>
      <c r="G101" s="37" t="n">
        <v>0</v>
      </c>
      <c r="H101" s="49" t="str">
        <f aca="false">IF(G101=0,"",G101*0.1)</f>
        <v/>
      </c>
      <c r="I101" s="35" t="str">
        <f aca="false">IF(G101=0,"",G101*1.1)</f>
        <v/>
      </c>
      <c r="J101" s="36"/>
      <c r="K101" s="36"/>
      <c r="L101" s="36"/>
      <c r="M101" s="37" t="n">
        <v>0</v>
      </c>
      <c r="N101" s="36"/>
      <c r="O101" s="5"/>
    </row>
    <row r="102" customFormat="false" ht="15.75" hidden="false" customHeight="true" outlineLevel="0" collapsed="false">
      <c r="B102" s="32"/>
      <c r="C102" s="32"/>
      <c r="D102" s="33"/>
      <c r="E102" s="32"/>
      <c r="F102" s="32"/>
      <c r="G102" s="34" t="n">
        <v>0</v>
      </c>
      <c r="H102" s="48" t="str">
        <f aca="false">IF(G102=0,"",G102*0.1)</f>
        <v/>
      </c>
      <c r="I102" s="35" t="str">
        <f aca="false">IF(G102=0,"",G102*1.1)</f>
        <v/>
      </c>
      <c r="J102" s="32"/>
      <c r="K102" s="32"/>
      <c r="L102" s="32"/>
      <c r="M102" s="34" t="n">
        <v>0</v>
      </c>
      <c r="N102" s="32"/>
      <c r="O102" s="13"/>
    </row>
    <row r="103" customFormat="false" ht="15.75" hidden="false" customHeight="true" outlineLevel="0" collapsed="false">
      <c r="B103" s="36"/>
      <c r="C103" s="36"/>
      <c r="D103" s="4"/>
      <c r="E103" s="36"/>
      <c r="F103" s="36"/>
      <c r="G103" s="37" t="n">
        <v>0</v>
      </c>
      <c r="H103" s="49" t="str">
        <f aca="false">IF(G103=0,"",G103*0.1)</f>
        <v/>
      </c>
      <c r="I103" s="35" t="str">
        <f aca="false">IF(G103=0,"",G103*1.1)</f>
        <v/>
      </c>
      <c r="J103" s="36"/>
      <c r="K103" s="36"/>
      <c r="L103" s="36"/>
      <c r="M103" s="37" t="n">
        <v>0</v>
      </c>
      <c r="N103" s="36"/>
      <c r="O103" s="5"/>
    </row>
    <row r="104" customFormat="false" ht="15.75" hidden="false" customHeight="true" outlineLevel="0" collapsed="false">
      <c r="B104" s="32"/>
      <c r="C104" s="32"/>
      <c r="D104" s="33"/>
      <c r="E104" s="32"/>
      <c r="F104" s="32"/>
      <c r="G104" s="34" t="n">
        <v>0</v>
      </c>
      <c r="H104" s="48" t="str">
        <f aca="false">IF(G104=0,"",G104*0.1)</f>
        <v/>
      </c>
      <c r="I104" s="35" t="str">
        <f aca="false">IF(G104=0,"",G104*1.1)</f>
        <v/>
      </c>
      <c r="J104" s="32"/>
      <c r="K104" s="32"/>
      <c r="L104" s="32"/>
      <c r="M104" s="34" t="n">
        <v>0</v>
      </c>
      <c r="N104" s="32"/>
      <c r="O104" s="13"/>
    </row>
    <row r="105" customFormat="false" ht="15.75" hidden="false" customHeight="true" outlineLevel="0" collapsed="false">
      <c r="B105" s="36"/>
      <c r="C105" s="36"/>
      <c r="D105" s="4"/>
      <c r="E105" s="36"/>
      <c r="F105" s="36"/>
      <c r="G105" s="37" t="n">
        <v>0</v>
      </c>
      <c r="H105" s="49" t="str">
        <f aca="false">IF(G105=0,"",G105*0.1)</f>
        <v/>
      </c>
      <c r="I105" s="35" t="str">
        <f aca="false">IF(G105=0,"",G105*1.1)</f>
        <v/>
      </c>
      <c r="J105" s="36"/>
      <c r="K105" s="36"/>
      <c r="L105" s="36"/>
      <c r="M105" s="37" t="n">
        <v>0</v>
      </c>
      <c r="N105" s="36"/>
      <c r="O105" s="5"/>
    </row>
    <row r="106" customFormat="false" ht="15.75" hidden="false" customHeight="true" outlineLevel="0" collapsed="false">
      <c r="B106" s="32"/>
      <c r="C106" s="32"/>
      <c r="D106" s="33"/>
      <c r="E106" s="32"/>
      <c r="F106" s="32"/>
      <c r="G106" s="34" t="n">
        <v>0</v>
      </c>
      <c r="H106" s="48" t="str">
        <f aca="false">IF(G106=0,"",G106*0.1)</f>
        <v/>
      </c>
      <c r="I106" s="35" t="str">
        <f aca="false">IF(G106=0,"",G106*1.1)</f>
        <v/>
      </c>
      <c r="J106" s="32"/>
      <c r="K106" s="32"/>
      <c r="L106" s="32"/>
      <c r="M106" s="34" t="n">
        <v>0</v>
      </c>
      <c r="N106" s="32"/>
      <c r="O106" s="13"/>
    </row>
    <row r="107" customFormat="false" ht="15.75" hidden="false" customHeight="true" outlineLevel="0" collapsed="false">
      <c r="B107" s="36"/>
      <c r="C107" s="36"/>
      <c r="D107" s="4"/>
      <c r="E107" s="36"/>
      <c r="F107" s="36"/>
      <c r="G107" s="37" t="n">
        <v>0</v>
      </c>
      <c r="H107" s="49" t="str">
        <f aca="false">IF(G107=0,"",G107*0.1)</f>
        <v/>
      </c>
      <c r="I107" s="35" t="str">
        <f aca="false">IF(G107=0,"",G107*1.1)</f>
        <v/>
      </c>
      <c r="J107" s="36"/>
      <c r="K107" s="36"/>
      <c r="L107" s="36"/>
      <c r="M107" s="37" t="n">
        <v>0</v>
      </c>
      <c r="N107" s="36"/>
      <c r="O107" s="5"/>
    </row>
    <row r="108" customFormat="false" ht="15.75" hidden="false" customHeight="true" outlineLevel="0" collapsed="false">
      <c r="B108" s="32"/>
      <c r="C108" s="32"/>
      <c r="D108" s="33"/>
      <c r="E108" s="32"/>
      <c r="F108" s="32"/>
      <c r="G108" s="34" t="n">
        <v>0</v>
      </c>
      <c r="H108" s="48" t="str">
        <f aca="false">IF(G108=0,"",G108*0.1)</f>
        <v/>
      </c>
      <c r="I108" s="35" t="str">
        <f aca="false">IF(G108=0,"",G108*1.1)</f>
        <v/>
      </c>
      <c r="J108" s="32"/>
      <c r="K108" s="32"/>
      <c r="L108" s="32"/>
      <c r="M108" s="34" t="n">
        <v>0</v>
      </c>
      <c r="N108" s="32"/>
      <c r="O108" s="13"/>
    </row>
    <row r="109" customFormat="false" ht="15.75" hidden="false" customHeight="true" outlineLevel="0" collapsed="false">
      <c r="B109" s="36"/>
      <c r="C109" s="36"/>
      <c r="D109" s="4"/>
      <c r="E109" s="36"/>
      <c r="F109" s="36"/>
      <c r="G109" s="37" t="n">
        <v>0</v>
      </c>
      <c r="H109" s="49" t="str">
        <f aca="false">IF(G109=0,"",G109*0.1)</f>
        <v/>
      </c>
      <c r="I109" s="35" t="str">
        <f aca="false">IF(G109=0,"",G109*1.1)</f>
        <v/>
      </c>
      <c r="J109" s="36"/>
      <c r="K109" s="36"/>
      <c r="L109" s="36"/>
      <c r="M109" s="37" t="n">
        <v>0</v>
      </c>
      <c r="N109" s="36"/>
      <c r="O109" s="5"/>
    </row>
    <row r="110" customFormat="false" ht="15.75" hidden="false" customHeight="true" outlineLevel="0" collapsed="false">
      <c r="B110" s="32"/>
      <c r="C110" s="32"/>
      <c r="D110" s="33"/>
      <c r="E110" s="32"/>
      <c r="F110" s="32"/>
      <c r="G110" s="34" t="n">
        <v>0</v>
      </c>
      <c r="H110" s="48" t="str">
        <f aca="false">IF(G110=0,"",G110*0.1)</f>
        <v/>
      </c>
      <c r="I110" s="35" t="str">
        <f aca="false">IF(G110=0,"",G110*1.1)</f>
        <v/>
      </c>
      <c r="J110" s="32"/>
      <c r="K110" s="32"/>
      <c r="L110" s="32"/>
      <c r="M110" s="34" t="n">
        <v>0</v>
      </c>
      <c r="N110" s="32"/>
      <c r="O110" s="13"/>
    </row>
    <row r="111" customFormat="false" ht="15.75" hidden="false" customHeight="true" outlineLevel="0" collapsed="false">
      <c r="B111" s="36"/>
      <c r="C111" s="36"/>
      <c r="D111" s="4"/>
      <c r="E111" s="36"/>
      <c r="F111" s="36"/>
      <c r="G111" s="37" t="n">
        <v>0</v>
      </c>
      <c r="H111" s="49" t="str">
        <f aca="false">IF(G111=0,"",G111*0.1)</f>
        <v/>
      </c>
      <c r="I111" s="35" t="str">
        <f aca="false">IF(G111=0,"",G111*1.1)</f>
        <v/>
      </c>
      <c r="J111" s="36"/>
      <c r="K111" s="36"/>
      <c r="L111" s="36"/>
      <c r="M111" s="37" t="n">
        <v>0</v>
      </c>
      <c r="N111" s="36"/>
      <c r="O111" s="5"/>
    </row>
    <row r="112" customFormat="false" ht="15.75" hidden="false" customHeight="true" outlineLevel="0" collapsed="false">
      <c r="B112" s="32"/>
      <c r="C112" s="32"/>
      <c r="D112" s="33"/>
      <c r="E112" s="32"/>
      <c r="F112" s="32"/>
      <c r="G112" s="34" t="n">
        <v>0</v>
      </c>
      <c r="H112" s="48" t="str">
        <f aca="false">IF(G112=0,"",G112*0.1)</f>
        <v/>
      </c>
      <c r="I112" s="35" t="str">
        <f aca="false">IF(G112=0,"",G112*1.1)</f>
        <v/>
      </c>
      <c r="J112" s="32"/>
      <c r="K112" s="32"/>
      <c r="L112" s="32"/>
      <c r="M112" s="34" t="n">
        <v>0</v>
      </c>
      <c r="N112" s="32"/>
      <c r="O112" s="13"/>
    </row>
    <row r="113" customFormat="false" ht="15.75" hidden="false" customHeight="true" outlineLevel="0" collapsed="false">
      <c r="B113" s="36"/>
      <c r="C113" s="36"/>
      <c r="D113" s="4"/>
      <c r="E113" s="36"/>
      <c r="F113" s="36"/>
      <c r="G113" s="37" t="n">
        <v>0</v>
      </c>
      <c r="H113" s="49" t="str">
        <f aca="false">IF(G113=0,"",G113*0.1)</f>
        <v/>
      </c>
      <c r="I113" s="35" t="str">
        <f aca="false">IF(G113=0,"",G113*1.1)</f>
        <v/>
      </c>
      <c r="J113" s="36"/>
      <c r="K113" s="36"/>
      <c r="L113" s="36"/>
      <c r="M113" s="37" t="n">
        <v>0</v>
      </c>
      <c r="N113" s="36"/>
      <c r="O113" s="5"/>
    </row>
    <row r="114" customFormat="false" ht="15.75" hidden="false" customHeight="true" outlineLevel="0" collapsed="false">
      <c r="B114" s="32"/>
      <c r="C114" s="32"/>
      <c r="D114" s="33"/>
      <c r="E114" s="32"/>
      <c r="F114" s="32"/>
      <c r="G114" s="34" t="n">
        <v>0</v>
      </c>
      <c r="H114" s="48" t="str">
        <f aca="false">IF(G114=0,"",G114*0.1)</f>
        <v/>
      </c>
      <c r="I114" s="35" t="str">
        <f aca="false">IF(G114=0,"",G114*1.1)</f>
        <v/>
      </c>
      <c r="J114" s="32"/>
      <c r="K114" s="32"/>
      <c r="L114" s="32"/>
      <c r="M114" s="34" t="n">
        <v>0</v>
      </c>
      <c r="N114" s="32"/>
      <c r="O114" s="13"/>
    </row>
    <row r="115" customFormat="false" ht="15.75" hidden="false" customHeight="true" outlineLevel="0" collapsed="false">
      <c r="B115" s="36"/>
      <c r="C115" s="36"/>
      <c r="D115" s="4"/>
      <c r="E115" s="36"/>
      <c r="F115" s="36"/>
      <c r="G115" s="37" t="n">
        <v>0</v>
      </c>
      <c r="H115" s="49" t="str">
        <f aca="false">IF(G115=0,"",G115*0.1)</f>
        <v/>
      </c>
      <c r="I115" s="35" t="str">
        <f aca="false">IF(G115=0,"",G115*1.1)</f>
        <v/>
      </c>
      <c r="J115" s="36"/>
      <c r="K115" s="36"/>
      <c r="L115" s="36"/>
      <c r="M115" s="37" t="n">
        <v>0</v>
      </c>
      <c r="N115" s="36"/>
      <c r="O115" s="5"/>
    </row>
    <row r="116" customFormat="false" ht="15.75" hidden="false" customHeight="true" outlineLevel="0" collapsed="false">
      <c r="B116" s="32"/>
      <c r="C116" s="32"/>
      <c r="D116" s="33"/>
      <c r="E116" s="32"/>
      <c r="F116" s="32"/>
      <c r="G116" s="34" t="n">
        <v>0</v>
      </c>
      <c r="H116" s="48" t="str">
        <f aca="false">IF(G116=0,"",G116*0.1)</f>
        <v/>
      </c>
      <c r="I116" s="35" t="str">
        <f aca="false">IF(G116=0,"",G116*1.1)</f>
        <v/>
      </c>
      <c r="J116" s="32"/>
      <c r="K116" s="32"/>
      <c r="L116" s="32"/>
      <c r="M116" s="34" t="n">
        <v>0</v>
      </c>
      <c r="N116" s="32"/>
      <c r="O116" s="13"/>
    </row>
    <row r="117" customFormat="false" ht="15.75" hidden="false" customHeight="true" outlineLevel="0" collapsed="false">
      <c r="B117" s="36"/>
      <c r="C117" s="36"/>
      <c r="D117" s="4"/>
      <c r="E117" s="36"/>
      <c r="F117" s="36"/>
      <c r="G117" s="37" t="n">
        <v>0</v>
      </c>
      <c r="H117" s="49" t="str">
        <f aca="false">IF(G117=0,"",G117*0.1)</f>
        <v/>
      </c>
      <c r="I117" s="35" t="str">
        <f aca="false">IF(G117=0,"",G117*1.1)</f>
        <v/>
      </c>
      <c r="J117" s="36"/>
      <c r="K117" s="36"/>
      <c r="L117" s="36"/>
      <c r="M117" s="37" t="n">
        <v>0</v>
      </c>
      <c r="N117" s="36"/>
      <c r="O117" s="5"/>
    </row>
    <row r="118" customFormat="false" ht="15.75" hidden="false" customHeight="true" outlineLevel="0" collapsed="false">
      <c r="B118" s="32"/>
      <c r="C118" s="32"/>
      <c r="D118" s="33"/>
      <c r="E118" s="32"/>
      <c r="F118" s="32"/>
      <c r="G118" s="34" t="n">
        <v>0</v>
      </c>
      <c r="H118" s="48" t="str">
        <f aca="false">IF(G118=0,"",G118*0.1)</f>
        <v/>
      </c>
      <c r="I118" s="35" t="str">
        <f aca="false">IF(G118=0,"",G118*1.1)</f>
        <v/>
      </c>
      <c r="J118" s="32"/>
      <c r="K118" s="32"/>
      <c r="L118" s="32"/>
      <c r="M118" s="34" t="n">
        <v>0</v>
      </c>
      <c r="N118" s="32"/>
      <c r="O118" s="13"/>
    </row>
    <row r="119" customFormat="false" ht="15.75" hidden="false" customHeight="true" outlineLevel="0" collapsed="false">
      <c r="B119" s="36"/>
      <c r="C119" s="36"/>
      <c r="D119" s="4"/>
      <c r="E119" s="36"/>
      <c r="F119" s="36"/>
      <c r="G119" s="37" t="n">
        <v>0</v>
      </c>
      <c r="H119" s="49" t="str">
        <f aca="false">IF(G119=0,"",G119*0.1)</f>
        <v/>
      </c>
      <c r="I119" s="35" t="str">
        <f aca="false">IF(G119=0,"",G119*1.1)</f>
        <v/>
      </c>
      <c r="J119" s="36"/>
      <c r="K119" s="36"/>
      <c r="L119" s="36"/>
      <c r="M119" s="37" t="n">
        <v>0</v>
      </c>
      <c r="N119" s="36"/>
      <c r="O119" s="5"/>
    </row>
    <row r="120" customFormat="false" ht="15.75" hidden="false" customHeight="true" outlineLevel="0" collapsed="false">
      <c r="B120" s="32"/>
      <c r="C120" s="32"/>
      <c r="D120" s="33"/>
      <c r="E120" s="32"/>
      <c r="F120" s="32"/>
      <c r="G120" s="34" t="n">
        <v>0</v>
      </c>
      <c r="H120" s="48" t="str">
        <f aca="false">IF(G120=0,"",G120*0.1)</f>
        <v/>
      </c>
      <c r="I120" s="35" t="str">
        <f aca="false">IF(G120=0,"",G120*1.1)</f>
        <v/>
      </c>
      <c r="J120" s="32"/>
      <c r="K120" s="32"/>
      <c r="L120" s="32"/>
      <c r="M120" s="34" t="n">
        <v>0</v>
      </c>
      <c r="N120" s="32"/>
      <c r="O120" s="13"/>
    </row>
    <row r="121" customFormat="false" ht="15.75" hidden="false" customHeight="true" outlineLevel="0" collapsed="false">
      <c r="B121" s="36"/>
      <c r="C121" s="36"/>
      <c r="D121" s="4"/>
      <c r="E121" s="36"/>
      <c r="F121" s="36"/>
      <c r="G121" s="37" t="n">
        <v>0</v>
      </c>
      <c r="H121" s="49" t="str">
        <f aca="false">IF(G121=0,"",G121*0.1)</f>
        <v/>
      </c>
      <c r="I121" s="35" t="str">
        <f aca="false">IF(G121=0,"",G121*1.1)</f>
        <v/>
      </c>
      <c r="J121" s="36"/>
      <c r="K121" s="36"/>
      <c r="L121" s="36"/>
      <c r="M121" s="37" t="n">
        <v>0</v>
      </c>
      <c r="N121" s="36"/>
      <c r="O121" s="5"/>
    </row>
    <row r="122" customFormat="false" ht="15.75" hidden="false" customHeight="true" outlineLevel="0" collapsed="false">
      <c r="B122" s="32"/>
      <c r="C122" s="32"/>
      <c r="D122" s="33"/>
      <c r="E122" s="32"/>
      <c r="F122" s="32"/>
      <c r="G122" s="34" t="n">
        <v>0</v>
      </c>
      <c r="H122" s="48" t="str">
        <f aca="false">IF(G122=0,"",G122*0.1)</f>
        <v/>
      </c>
      <c r="I122" s="35" t="str">
        <f aca="false">IF(G122=0,"",G122*1.1)</f>
        <v/>
      </c>
      <c r="J122" s="32"/>
      <c r="K122" s="32"/>
      <c r="L122" s="32"/>
      <c r="M122" s="34" t="n">
        <v>0</v>
      </c>
      <c r="N122" s="32"/>
      <c r="O122" s="13"/>
    </row>
    <row r="123" customFormat="false" ht="15.75" hidden="false" customHeight="true" outlineLevel="0" collapsed="false">
      <c r="B123" s="36"/>
      <c r="C123" s="36"/>
      <c r="D123" s="4"/>
      <c r="E123" s="36"/>
      <c r="F123" s="36"/>
      <c r="G123" s="37" t="n">
        <v>0</v>
      </c>
      <c r="H123" s="49" t="str">
        <f aca="false">IF(G123=0,"",G123*0.1)</f>
        <v/>
      </c>
      <c r="I123" s="35" t="str">
        <f aca="false">IF(G123=0,"",G123*1.1)</f>
        <v/>
      </c>
      <c r="J123" s="36"/>
      <c r="K123" s="36"/>
      <c r="L123" s="36"/>
      <c r="M123" s="37" t="n">
        <v>0</v>
      </c>
      <c r="N123" s="36"/>
      <c r="O123" s="5"/>
    </row>
    <row r="124" customFormat="false" ht="15.75" hidden="false" customHeight="true" outlineLevel="0" collapsed="false">
      <c r="B124" s="32"/>
      <c r="C124" s="32"/>
      <c r="D124" s="33"/>
      <c r="E124" s="32"/>
      <c r="F124" s="32"/>
      <c r="G124" s="34" t="n">
        <v>0</v>
      </c>
      <c r="H124" s="48" t="str">
        <f aca="false">IF(G124=0,"",G124*0.1)</f>
        <v/>
      </c>
      <c r="I124" s="35" t="str">
        <f aca="false">IF(G124=0,"",G124*1.1)</f>
        <v/>
      </c>
      <c r="J124" s="32"/>
      <c r="K124" s="32"/>
      <c r="L124" s="32"/>
      <c r="M124" s="34" t="n">
        <v>0</v>
      </c>
      <c r="N124" s="32"/>
      <c r="O124" s="13"/>
    </row>
    <row r="125" customFormat="false" ht="15.75" hidden="false" customHeight="true" outlineLevel="0" collapsed="false">
      <c r="B125" s="36"/>
      <c r="C125" s="36"/>
      <c r="D125" s="4"/>
      <c r="E125" s="36"/>
      <c r="F125" s="36"/>
      <c r="G125" s="37" t="n">
        <v>0</v>
      </c>
      <c r="H125" s="49" t="str">
        <f aca="false">IF(G125=0,"",G125*0.1)</f>
        <v/>
      </c>
      <c r="I125" s="35" t="str">
        <f aca="false">IF(G125=0,"",G125*1.1)</f>
        <v/>
      </c>
      <c r="J125" s="36"/>
      <c r="K125" s="36"/>
      <c r="L125" s="36"/>
      <c r="M125" s="37" t="n">
        <v>0</v>
      </c>
      <c r="N125" s="36"/>
      <c r="O125" s="5"/>
    </row>
    <row r="126" customFormat="false" ht="15.75" hidden="false" customHeight="true" outlineLevel="0" collapsed="false">
      <c r="B126" s="32"/>
      <c r="C126" s="32"/>
      <c r="D126" s="33"/>
      <c r="E126" s="32"/>
      <c r="F126" s="32"/>
      <c r="G126" s="34" t="n">
        <v>0</v>
      </c>
      <c r="H126" s="48" t="str">
        <f aca="false">IF(G126=0,"",G126*0.1)</f>
        <v/>
      </c>
      <c r="I126" s="35" t="str">
        <f aca="false">IF(G126=0,"",G126*1.1)</f>
        <v/>
      </c>
      <c r="J126" s="32"/>
      <c r="K126" s="32"/>
      <c r="L126" s="32"/>
      <c r="M126" s="34" t="n">
        <v>0</v>
      </c>
      <c r="N126" s="32"/>
      <c r="O126" s="13"/>
    </row>
    <row r="127" customFormat="false" ht="15.75" hidden="false" customHeight="true" outlineLevel="0" collapsed="false">
      <c r="B127" s="36"/>
      <c r="C127" s="36"/>
      <c r="D127" s="4"/>
      <c r="E127" s="36"/>
      <c r="F127" s="36"/>
      <c r="G127" s="37" t="n">
        <v>0</v>
      </c>
      <c r="H127" s="49" t="str">
        <f aca="false">IF(G127=0,"",G127*0.1)</f>
        <v/>
      </c>
      <c r="I127" s="35" t="str">
        <f aca="false">IF(G127=0,"",G127*1.1)</f>
        <v/>
      </c>
      <c r="J127" s="36"/>
      <c r="K127" s="36"/>
      <c r="L127" s="36"/>
      <c r="M127" s="37" t="n">
        <v>0</v>
      </c>
      <c r="N127" s="36"/>
      <c r="O127" s="5"/>
    </row>
    <row r="128" customFormat="false" ht="15.75" hidden="false" customHeight="true" outlineLevel="0" collapsed="false">
      <c r="B128" s="32"/>
      <c r="C128" s="32"/>
      <c r="D128" s="33"/>
      <c r="E128" s="32"/>
      <c r="F128" s="32"/>
      <c r="G128" s="34" t="n">
        <v>0</v>
      </c>
      <c r="H128" s="48" t="str">
        <f aca="false">IF(G128=0,"",G128*0.1)</f>
        <v/>
      </c>
      <c r="I128" s="35" t="str">
        <f aca="false">IF(G128=0,"",G128*1.1)</f>
        <v/>
      </c>
      <c r="J128" s="32"/>
      <c r="K128" s="32"/>
      <c r="L128" s="32"/>
      <c r="M128" s="34" t="n">
        <v>0</v>
      </c>
      <c r="N128" s="32"/>
      <c r="O128" s="13"/>
    </row>
    <row r="129" customFormat="false" ht="15.75" hidden="false" customHeight="true" outlineLevel="0" collapsed="false">
      <c r="B129" s="36"/>
      <c r="C129" s="36"/>
      <c r="D129" s="4"/>
      <c r="E129" s="36"/>
      <c r="F129" s="36"/>
      <c r="G129" s="37" t="n">
        <v>0</v>
      </c>
      <c r="H129" s="49" t="str">
        <f aca="false">IF(G129=0,"",G129*0.1)</f>
        <v/>
      </c>
      <c r="I129" s="35" t="str">
        <f aca="false">IF(G129=0,"",G129*1.1)</f>
        <v/>
      </c>
      <c r="J129" s="36"/>
      <c r="K129" s="36"/>
      <c r="L129" s="36"/>
      <c r="M129" s="37" t="n">
        <v>0</v>
      </c>
      <c r="N129" s="36"/>
      <c r="O129" s="5"/>
    </row>
    <row r="130" customFormat="false" ht="15.75" hidden="false" customHeight="true" outlineLevel="0" collapsed="false">
      <c r="B130" s="32"/>
      <c r="C130" s="32"/>
      <c r="D130" s="33"/>
      <c r="E130" s="32"/>
      <c r="F130" s="32"/>
      <c r="G130" s="34" t="n">
        <v>0</v>
      </c>
      <c r="H130" s="48" t="str">
        <f aca="false">IF(G130=0,"",G130*0.1)</f>
        <v/>
      </c>
      <c r="I130" s="35" t="str">
        <f aca="false">IF(G130=0,"",G130*1.1)</f>
        <v/>
      </c>
      <c r="J130" s="32"/>
      <c r="K130" s="32"/>
      <c r="L130" s="32"/>
      <c r="M130" s="34" t="n">
        <v>0</v>
      </c>
      <c r="N130" s="32"/>
      <c r="O130" s="13"/>
    </row>
    <row r="131" customFormat="false" ht="15.75" hidden="false" customHeight="true" outlineLevel="0" collapsed="false">
      <c r="B131" s="36"/>
      <c r="C131" s="36"/>
      <c r="D131" s="4"/>
      <c r="E131" s="36"/>
      <c r="F131" s="36"/>
      <c r="G131" s="37" t="n">
        <v>0</v>
      </c>
      <c r="H131" s="49" t="str">
        <f aca="false">IF(G131=0,"",G131*0.1)</f>
        <v/>
      </c>
      <c r="I131" s="35" t="str">
        <f aca="false">IF(G131=0,"",G131*1.1)</f>
        <v/>
      </c>
      <c r="J131" s="36"/>
      <c r="K131" s="36"/>
      <c r="L131" s="36"/>
      <c r="M131" s="37" t="n">
        <v>0</v>
      </c>
      <c r="N131" s="36"/>
      <c r="O131" s="5"/>
    </row>
    <row r="132" customFormat="false" ht="15.75" hidden="false" customHeight="true" outlineLevel="0" collapsed="false">
      <c r="B132" s="32"/>
      <c r="C132" s="32"/>
      <c r="D132" s="33"/>
      <c r="E132" s="32"/>
      <c r="F132" s="32"/>
      <c r="G132" s="34" t="n">
        <v>0</v>
      </c>
      <c r="H132" s="48" t="str">
        <f aca="false">IF(G132=0,"",G132*0.1)</f>
        <v/>
      </c>
      <c r="I132" s="35" t="str">
        <f aca="false">IF(G132=0,"",G132*1.1)</f>
        <v/>
      </c>
      <c r="J132" s="32"/>
      <c r="K132" s="32"/>
      <c r="L132" s="32"/>
      <c r="M132" s="34" t="n">
        <v>0</v>
      </c>
      <c r="N132" s="32"/>
      <c r="O132" s="13"/>
    </row>
    <row r="133" customFormat="false" ht="15.75" hidden="false" customHeight="true" outlineLevel="0" collapsed="false">
      <c r="B133" s="36"/>
      <c r="C133" s="36"/>
      <c r="D133" s="4"/>
      <c r="E133" s="36"/>
      <c r="F133" s="36"/>
      <c r="G133" s="37" t="n">
        <v>0</v>
      </c>
      <c r="H133" s="49" t="str">
        <f aca="false">IF(G133=0,"",G133*0.1)</f>
        <v/>
      </c>
      <c r="I133" s="35" t="str">
        <f aca="false">IF(G133=0,"",G133*1.1)</f>
        <v/>
      </c>
      <c r="J133" s="36"/>
      <c r="K133" s="36"/>
      <c r="L133" s="36"/>
      <c r="M133" s="37" t="n">
        <v>0</v>
      </c>
      <c r="N133" s="36"/>
      <c r="O133" s="5"/>
    </row>
    <row r="134" customFormat="false" ht="15.75" hidden="false" customHeight="true" outlineLevel="0" collapsed="false">
      <c r="B134" s="32"/>
      <c r="C134" s="32"/>
      <c r="D134" s="33"/>
      <c r="E134" s="32"/>
      <c r="F134" s="32"/>
      <c r="G134" s="34" t="n">
        <v>0</v>
      </c>
      <c r="H134" s="48" t="str">
        <f aca="false">IF(G134=0,"",G134*0.1)</f>
        <v/>
      </c>
      <c r="I134" s="35" t="str">
        <f aca="false">IF(G134=0,"",G134*1.1)</f>
        <v/>
      </c>
      <c r="J134" s="32"/>
      <c r="K134" s="32"/>
      <c r="L134" s="32"/>
      <c r="M134" s="34" t="n">
        <v>0</v>
      </c>
      <c r="N134" s="32"/>
      <c r="O134" s="13"/>
    </row>
    <row r="135" customFormat="false" ht="15.75" hidden="false" customHeight="true" outlineLevel="0" collapsed="false">
      <c r="B135" s="36"/>
      <c r="C135" s="36"/>
      <c r="D135" s="4"/>
      <c r="E135" s="36"/>
      <c r="F135" s="36"/>
      <c r="G135" s="37" t="n">
        <v>0</v>
      </c>
      <c r="H135" s="49" t="str">
        <f aca="false">IF(G135=0,"",G135*0.1)</f>
        <v/>
      </c>
      <c r="I135" s="35" t="str">
        <f aca="false">IF(G135=0,"",G135*1.1)</f>
        <v/>
      </c>
      <c r="J135" s="36"/>
      <c r="K135" s="36"/>
      <c r="L135" s="36"/>
      <c r="M135" s="37" t="n">
        <v>0</v>
      </c>
      <c r="N135" s="36"/>
      <c r="O135" s="5"/>
    </row>
    <row r="136" customFormat="false" ht="15.75" hidden="false" customHeight="true" outlineLevel="0" collapsed="false">
      <c r="B136" s="32"/>
      <c r="C136" s="32"/>
      <c r="D136" s="33"/>
      <c r="E136" s="32"/>
      <c r="F136" s="32"/>
      <c r="G136" s="34" t="n">
        <v>0</v>
      </c>
      <c r="H136" s="48" t="str">
        <f aca="false">IF(G136=0,"",G136*0.1)</f>
        <v/>
      </c>
      <c r="I136" s="35" t="str">
        <f aca="false">IF(G136=0,"",G136*1.1)</f>
        <v/>
      </c>
      <c r="J136" s="32"/>
      <c r="K136" s="32"/>
      <c r="L136" s="32"/>
      <c r="M136" s="34" t="n">
        <v>0</v>
      </c>
      <c r="N136" s="32"/>
      <c r="O136" s="13"/>
    </row>
    <row r="137" customFormat="false" ht="15.75" hidden="false" customHeight="true" outlineLevel="0" collapsed="false">
      <c r="B137" s="36"/>
      <c r="C137" s="36"/>
      <c r="D137" s="4"/>
      <c r="E137" s="36"/>
      <c r="F137" s="36"/>
      <c r="G137" s="37" t="n">
        <v>0</v>
      </c>
      <c r="H137" s="49" t="str">
        <f aca="false">IF(G137=0,"",G137*0.1)</f>
        <v/>
      </c>
      <c r="I137" s="35" t="str">
        <f aca="false">IF(G137=0,"",G137*1.1)</f>
        <v/>
      </c>
      <c r="J137" s="36"/>
      <c r="K137" s="36"/>
      <c r="L137" s="36"/>
      <c r="M137" s="37" t="n">
        <v>0</v>
      </c>
      <c r="N137" s="36"/>
      <c r="O137" s="5"/>
    </row>
    <row r="138" customFormat="false" ht="15.75" hidden="false" customHeight="true" outlineLevel="0" collapsed="false">
      <c r="B138" s="32"/>
      <c r="C138" s="32"/>
      <c r="D138" s="33"/>
      <c r="E138" s="32"/>
      <c r="F138" s="32"/>
      <c r="G138" s="34" t="n">
        <v>0</v>
      </c>
      <c r="H138" s="48" t="str">
        <f aca="false">IF(G138=0,"",G138*0.1)</f>
        <v/>
      </c>
      <c r="I138" s="35" t="str">
        <f aca="false">IF(G138=0,"",G138*1.1)</f>
        <v/>
      </c>
      <c r="J138" s="32"/>
      <c r="K138" s="32"/>
      <c r="L138" s="32"/>
      <c r="M138" s="34" t="n">
        <v>0</v>
      </c>
      <c r="N138" s="32"/>
      <c r="O138" s="13"/>
    </row>
    <row r="139" customFormat="false" ht="15.75" hidden="false" customHeight="true" outlineLevel="0" collapsed="false">
      <c r="B139" s="36"/>
      <c r="C139" s="36"/>
      <c r="D139" s="4"/>
      <c r="E139" s="36"/>
      <c r="F139" s="36"/>
      <c r="G139" s="37" t="n">
        <v>0</v>
      </c>
      <c r="H139" s="49" t="str">
        <f aca="false">IF(G139=0,"",G139*0.1)</f>
        <v/>
      </c>
      <c r="I139" s="35" t="str">
        <f aca="false">IF(G139=0,"",G139*1.1)</f>
        <v/>
      </c>
      <c r="J139" s="36"/>
      <c r="K139" s="36"/>
      <c r="L139" s="36"/>
      <c r="M139" s="37" t="n">
        <v>0</v>
      </c>
      <c r="N139" s="36"/>
      <c r="O139" s="5"/>
    </row>
    <row r="140" customFormat="false" ht="15.75" hidden="false" customHeight="true" outlineLevel="0" collapsed="false">
      <c r="B140" s="32"/>
      <c r="C140" s="32"/>
      <c r="D140" s="33"/>
      <c r="E140" s="32"/>
      <c r="F140" s="32"/>
      <c r="G140" s="34" t="n">
        <v>0</v>
      </c>
      <c r="H140" s="48" t="str">
        <f aca="false">IF(G140=0,"",G140*0.1)</f>
        <v/>
      </c>
      <c r="I140" s="35" t="str">
        <f aca="false">IF(G140=0,"",G140*1.1)</f>
        <v/>
      </c>
      <c r="J140" s="32"/>
      <c r="K140" s="32"/>
      <c r="L140" s="32"/>
      <c r="M140" s="34" t="n">
        <v>0</v>
      </c>
      <c r="N140" s="32"/>
      <c r="O140" s="13"/>
    </row>
    <row r="141" customFormat="false" ht="15.75" hidden="false" customHeight="true" outlineLevel="0" collapsed="false">
      <c r="B141" s="36"/>
      <c r="C141" s="36"/>
      <c r="D141" s="4"/>
      <c r="E141" s="36"/>
      <c r="F141" s="36"/>
      <c r="G141" s="37" t="n">
        <v>0</v>
      </c>
      <c r="H141" s="49" t="str">
        <f aca="false">IF(G141=0,"",G141*0.1)</f>
        <v/>
      </c>
      <c r="I141" s="35" t="str">
        <f aca="false">IF(G141=0,"",G141*1.1)</f>
        <v/>
      </c>
      <c r="J141" s="36"/>
      <c r="K141" s="36"/>
      <c r="L141" s="36"/>
      <c r="M141" s="37" t="n">
        <v>0</v>
      </c>
      <c r="N141" s="36"/>
      <c r="O141" s="5"/>
    </row>
    <row r="142" customFormat="false" ht="15.75" hidden="false" customHeight="true" outlineLevel="0" collapsed="false">
      <c r="B142" s="32"/>
      <c r="C142" s="32"/>
      <c r="D142" s="33"/>
      <c r="E142" s="32"/>
      <c r="F142" s="32"/>
      <c r="G142" s="34" t="n">
        <v>0</v>
      </c>
      <c r="H142" s="48" t="str">
        <f aca="false">IF(G142=0,"",G142*0.1)</f>
        <v/>
      </c>
      <c r="I142" s="35" t="str">
        <f aca="false">IF(G142=0,"",G142*1.1)</f>
        <v/>
      </c>
      <c r="J142" s="32"/>
      <c r="K142" s="32"/>
      <c r="L142" s="32"/>
      <c r="M142" s="34" t="n">
        <v>0</v>
      </c>
      <c r="N142" s="32"/>
      <c r="O142" s="13"/>
    </row>
    <row r="143" customFormat="false" ht="15.75" hidden="false" customHeight="true" outlineLevel="0" collapsed="false">
      <c r="B143" s="36"/>
      <c r="C143" s="36"/>
      <c r="D143" s="4"/>
      <c r="E143" s="36"/>
      <c r="F143" s="36"/>
      <c r="G143" s="37" t="n">
        <v>0</v>
      </c>
      <c r="H143" s="49" t="str">
        <f aca="false">IF(G143=0,"",G143*0.1)</f>
        <v/>
      </c>
      <c r="I143" s="35" t="str">
        <f aca="false">IF(G143=0,"",G143*1.1)</f>
        <v/>
      </c>
      <c r="J143" s="36"/>
      <c r="K143" s="36"/>
      <c r="L143" s="36"/>
      <c r="M143" s="37" t="n">
        <v>0</v>
      </c>
      <c r="N143" s="36"/>
      <c r="O143" s="5"/>
    </row>
    <row r="144" customFormat="false" ht="15.75" hidden="false" customHeight="true" outlineLevel="0" collapsed="false">
      <c r="B144" s="32"/>
      <c r="C144" s="32"/>
      <c r="D144" s="33"/>
      <c r="E144" s="32"/>
      <c r="F144" s="32"/>
      <c r="G144" s="34" t="n">
        <v>0</v>
      </c>
      <c r="H144" s="48" t="str">
        <f aca="false">IF(G144=0,"",G144*0.1)</f>
        <v/>
      </c>
      <c r="I144" s="35" t="str">
        <f aca="false">IF(G144=0,"",G144*1.1)</f>
        <v/>
      </c>
      <c r="J144" s="32"/>
      <c r="K144" s="32"/>
      <c r="L144" s="32"/>
      <c r="M144" s="34" t="n">
        <v>0</v>
      </c>
      <c r="N144" s="32"/>
      <c r="O144" s="13"/>
    </row>
    <row r="145" customFormat="false" ht="15.75" hidden="false" customHeight="true" outlineLevel="0" collapsed="false">
      <c r="B145" s="36"/>
      <c r="C145" s="36"/>
      <c r="D145" s="4"/>
      <c r="E145" s="36"/>
      <c r="F145" s="36"/>
      <c r="G145" s="37" t="n">
        <v>0</v>
      </c>
      <c r="H145" s="49" t="str">
        <f aca="false">IF(G145=0,"",G145*0.1)</f>
        <v/>
      </c>
      <c r="I145" s="35" t="str">
        <f aca="false">IF(G145=0,"",G145*1.1)</f>
        <v/>
      </c>
      <c r="J145" s="36"/>
      <c r="K145" s="36"/>
      <c r="L145" s="36"/>
      <c r="M145" s="37" t="n">
        <v>0</v>
      </c>
      <c r="N145" s="36"/>
      <c r="O145" s="5"/>
    </row>
    <row r="146" customFormat="false" ht="15.75" hidden="false" customHeight="true" outlineLevel="0" collapsed="false">
      <c r="B146" s="32"/>
      <c r="C146" s="32"/>
      <c r="D146" s="33"/>
      <c r="E146" s="32"/>
      <c r="F146" s="32"/>
      <c r="G146" s="34" t="n">
        <v>0</v>
      </c>
      <c r="H146" s="48" t="str">
        <f aca="false">IF(G146=0,"",G146*0.1)</f>
        <v/>
      </c>
      <c r="I146" s="35" t="str">
        <f aca="false">IF(G146=0,"",G146*1.1)</f>
        <v/>
      </c>
      <c r="J146" s="32"/>
      <c r="K146" s="32"/>
      <c r="L146" s="32"/>
      <c r="M146" s="34" t="n">
        <v>0</v>
      </c>
      <c r="N146" s="32"/>
      <c r="O146" s="13"/>
    </row>
    <row r="147" customFormat="false" ht="15.75" hidden="false" customHeight="true" outlineLevel="0" collapsed="false">
      <c r="B147" s="36"/>
      <c r="C147" s="36"/>
      <c r="D147" s="4"/>
      <c r="E147" s="36"/>
      <c r="F147" s="36"/>
      <c r="G147" s="37" t="n">
        <v>0</v>
      </c>
      <c r="H147" s="49" t="str">
        <f aca="false">IF(G147=0,"",G147*0.1)</f>
        <v/>
      </c>
      <c r="I147" s="35" t="str">
        <f aca="false">IF(G147=0,"",G147*1.1)</f>
        <v/>
      </c>
      <c r="J147" s="36"/>
      <c r="K147" s="36"/>
      <c r="L147" s="36"/>
      <c r="M147" s="37" t="n">
        <v>0</v>
      </c>
      <c r="N147" s="36"/>
      <c r="O147" s="5"/>
    </row>
    <row r="148" customFormat="false" ht="15.75" hidden="false" customHeight="true" outlineLevel="0" collapsed="false">
      <c r="B148" s="32"/>
      <c r="C148" s="32"/>
      <c r="D148" s="33"/>
      <c r="E148" s="32"/>
      <c r="F148" s="32"/>
      <c r="G148" s="34" t="n">
        <v>0</v>
      </c>
      <c r="H148" s="48" t="str">
        <f aca="false">IF(G148=0,"",G148*0.1)</f>
        <v/>
      </c>
      <c r="I148" s="35" t="str">
        <f aca="false">IF(G148=0,"",G148*1.1)</f>
        <v/>
      </c>
      <c r="J148" s="32"/>
      <c r="K148" s="32"/>
      <c r="L148" s="32"/>
      <c r="M148" s="34" t="n">
        <v>0</v>
      </c>
      <c r="N148" s="32"/>
      <c r="O148" s="13"/>
    </row>
    <row r="149" customFormat="false" ht="15.75" hidden="false" customHeight="true" outlineLevel="0" collapsed="false">
      <c r="B149" s="36"/>
      <c r="C149" s="36"/>
      <c r="D149" s="4"/>
      <c r="E149" s="36"/>
      <c r="F149" s="36"/>
      <c r="G149" s="37" t="n">
        <v>0</v>
      </c>
      <c r="H149" s="49" t="str">
        <f aca="false">IF(G149=0,"",G149*0.1)</f>
        <v/>
      </c>
      <c r="I149" s="35" t="str">
        <f aca="false">IF(G149=0,"",G149*1.1)</f>
        <v/>
      </c>
      <c r="J149" s="36"/>
      <c r="K149" s="36"/>
      <c r="L149" s="36"/>
      <c r="M149" s="37" t="n">
        <v>0</v>
      </c>
      <c r="N149" s="36"/>
      <c r="O149" s="5"/>
    </row>
    <row r="150" customFormat="false" ht="15.75" hidden="false" customHeight="true" outlineLevel="0" collapsed="false">
      <c r="B150" s="32"/>
      <c r="C150" s="32"/>
      <c r="D150" s="33"/>
      <c r="E150" s="32"/>
      <c r="F150" s="32"/>
      <c r="G150" s="34" t="n">
        <v>0</v>
      </c>
      <c r="H150" s="48" t="str">
        <f aca="false">IF(G150=0,"",G150*0.1)</f>
        <v/>
      </c>
      <c r="I150" s="35" t="str">
        <f aca="false">IF(G150=0,"",G150*1.1)</f>
        <v/>
      </c>
      <c r="J150" s="32"/>
      <c r="K150" s="32"/>
      <c r="L150" s="32"/>
      <c r="M150" s="34" t="n">
        <v>0</v>
      </c>
      <c r="N150" s="32"/>
      <c r="O150" s="13"/>
    </row>
    <row r="151" customFormat="false" ht="15.75" hidden="false" customHeight="true" outlineLevel="0" collapsed="false">
      <c r="B151" s="36"/>
      <c r="C151" s="36"/>
      <c r="D151" s="4"/>
      <c r="E151" s="36"/>
      <c r="F151" s="36"/>
      <c r="G151" s="37" t="n">
        <v>0</v>
      </c>
      <c r="H151" s="49" t="str">
        <f aca="false">IF(G151=0,"",G151*0.1)</f>
        <v/>
      </c>
      <c r="I151" s="35" t="str">
        <f aca="false">IF(G151=0,"",G151*1.1)</f>
        <v/>
      </c>
      <c r="J151" s="36"/>
      <c r="K151" s="36"/>
      <c r="L151" s="36"/>
      <c r="M151" s="37" t="n">
        <v>0</v>
      </c>
      <c r="N151" s="36"/>
      <c r="O151" s="5"/>
    </row>
    <row r="152" customFormat="false" ht="15.75" hidden="false" customHeight="true" outlineLevel="0" collapsed="false">
      <c r="B152" s="32"/>
      <c r="C152" s="32"/>
      <c r="D152" s="33"/>
      <c r="E152" s="32"/>
      <c r="F152" s="32"/>
      <c r="G152" s="34" t="n">
        <v>0</v>
      </c>
      <c r="H152" s="48" t="str">
        <f aca="false">IF(G152=0,"",G152*0.1)</f>
        <v/>
      </c>
      <c r="I152" s="35" t="str">
        <f aca="false">IF(G152=0,"",G152*1.1)</f>
        <v/>
      </c>
      <c r="J152" s="32"/>
      <c r="K152" s="32"/>
      <c r="L152" s="32"/>
      <c r="M152" s="34" t="n">
        <v>0</v>
      </c>
      <c r="N152" s="32"/>
      <c r="O152" s="13"/>
    </row>
    <row r="153" customFormat="false" ht="15.75" hidden="false" customHeight="true" outlineLevel="0" collapsed="false">
      <c r="B153" s="36"/>
      <c r="C153" s="36"/>
      <c r="D153" s="4"/>
      <c r="E153" s="36"/>
      <c r="F153" s="36"/>
      <c r="G153" s="37" t="n">
        <v>0</v>
      </c>
      <c r="H153" s="49" t="str">
        <f aca="false">IF(G153=0,"",G153*0.1)</f>
        <v/>
      </c>
      <c r="I153" s="35" t="str">
        <f aca="false">IF(G153=0,"",G153*1.1)</f>
        <v/>
      </c>
      <c r="J153" s="36"/>
      <c r="K153" s="36"/>
      <c r="L153" s="36"/>
      <c r="M153" s="37" t="n">
        <v>0</v>
      </c>
      <c r="N153" s="36"/>
      <c r="O153" s="5"/>
    </row>
    <row r="154" customFormat="false" ht="15.75" hidden="false" customHeight="true" outlineLevel="0" collapsed="false">
      <c r="B154" s="32"/>
      <c r="C154" s="32"/>
      <c r="D154" s="33"/>
      <c r="E154" s="32"/>
      <c r="F154" s="32"/>
      <c r="G154" s="34" t="n">
        <v>0</v>
      </c>
      <c r="H154" s="48" t="str">
        <f aca="false">IF(G154=0,"",G154*0.1)</f>
        <v/>
      </c>
      <c r="I154" s="35" t="str">
        <f aca="false">IF(G154=0,"",G154*1.1)</f>
        <v/>
      </c>
      <c r="J154" s="32"/>
      <c r="K154" s="32"/>
      <c r="L154" s="32"/>
      <c r="M154" s="34" t="n">
        <v>0</v>
      </c>
      <c r="N154" s="32"/>
      <c r="O154" s="13"/>
    </row>
    <row r="155" customFormat="false" ht="15.75" hidden="false" customHeight="true" outlineLevel="0" collapsed="false">
      <c r="B155" s="36"/>
      <c r="C155" s="36"/>
      <c r="D155" s="4"/>
      <c r="E155" s="36"/>
      <c r="F155" s="36"/>
      <c r="G155" s="37" t="n">
        <v>0</v>
      </c>
      <c r="H155" s="49" t="str">
        <f aca="false">IF(G155=0,"",G155*0.1)</f>
        <v/>
      </c>
      <c r="I155" s="35" t="str">
        <f aca="false">IF(G155=0,"",G155*1.1)</f>
        <v/>
      </c>
      <c r="J155" s="36"/>
      <c r="K155" s="36"/>
      <c r="L155" s="36"/>
      <c r="M155" s="37" t="n">
        <v>0</v>
      </c>
      <c r="N155" s="36"/>
      <c r="O155" s="5"/>
    </row>
    <row r="156" customFormat="false" ht="15.75" hidden="false" customHeight="true" outlineLevel="0" collapsed="false">
      <c r="B156" s="32"/>
      <c r="C156" s="32"/>
      <c r="D156" s="33"/>
      <c r="E156" s="32"/>
      <c r="F156" s="32"/>
      <c r="G156" s="34" t="n">
        <v>0</v>
      </c>
      <c r="H156" s="48" t="str">
        <f aca="false">IF(G156=0,"",G156*0.1)</f>
        <v/>
      </c>
      <c r="I156" s="35" t="str">
        <f aca="false">IF(G156=0,"",G156*1.1)</f>
        <v/>
      </c>
      <c r="J156" s="32"/>
      <c r="K156" s="32"/>
      <c r="L156" s="32"/>
      <c r="M156" s="34" t="n">
        <v>0</v>
      </c>
      <c r="N156" s="32"/>
      <c r="O156" s="13"/>
    </row>
    <row r="157" customFormat="false" ht="15.75" hidden="false" customHeight="true" outlineLevel="0" collapsed="false">
      <c r="B157" s="36"/>
      <c r="C157" s="36"/>
      <c r="D157" s="4"/>
      <c r="E157" s="36"/>
      <c r="F157" s="36"/>
      <c r="G157" s="37" t="n">
        <v>0</v>
      </c>
      <c r="H157" s="49" t="str">
        <f aca="false">IF(G157=0,"",G157*0.1)</f>
        <v/>
      </c>
      <c r="I157" s="35" t="str">
        <f aca="false">IF(G157=0,"",G157*1.1)</f>
        <v/>
      </c>
      <c r="J157" s="36"/>
      <c r="K157" s="36"/>
      <c r="L157" s="36"/>
      <c r="M157" s="37" t="n">
        <v>0</v>
      </c>
      <c r="N157" s="36"/>
      <c r="O157" s="5"/>
    </row>
    <row r="158" customFormat="false" ht="15.75" hidden="false" customHeight="true" outlineLevel="0" collapsed="false">
      <c r="B158" s="32"/>
      <c r="C158" s="32"/>
      <c r="D158" s="33"/>
      <c r="E158" s="32"/>
      <c r="F158" s="32"/>
      <c r="G158" s="34" t="n">
        <v>0</v>
      </c>
      <c r="H158" s="48" t="str">
        <f aca="false">IF(G158=0,"",G158*0.1)</f>
        <v/>
      </c>
      <c r="I158" s="35" t="str">
        <f aca="false">IF(G158=0,"",G158*1.1)</f>
        <v/>
      </c>
      <c r="J158" s="32"/>
      <c r="K158" s="32"/>
      <c r="L158" s="32"/>
      <c r="M158" s="34" t="n">
        <v>0</v>
      </c>
      <c r="N158" s="32"/>
      <c r="O158" s="13"/>
    </row>
    <row r="159" customFormat="false" ht="15.75" hidden="false" customHeight="true" outlineLevel="0" collapsed="false">
      <c r="B159" s="36"/>
      <c r="C159" s="36"/>
      <c r="D159" s="4"/>
      <c r="E159" s="36"/>
      <c r="F159" s="36"/>
      <c r="G159" s="37" t="n">
        <v>0</v>
      </c>
      <c r="H159" s="49" t="str">
        <f aca="false">IF(G159=0,"",G159*0.1)</f>
        <v/>
      </c>
      <c r="I159" s="35" t="str">
        <f aca="false">IF(G159=0,"",G159*1.1)</f>
        <v/>
      </c>
      <c r="J159" s="36"/>
      <c r="K159" s="36"/>
      <c r="L159" s="36"/>
      <c r="M159" s="37" t="n">
        <v>0</v>
      </c>
      <c r="N159" s="36"/>
      <c r="O159" s="5"/>
    </row>
    <row r="160" customFormat="false" ht="15.75" hidden="false" customHeight="true" outlineLevel="0" collapsed="false">
      <c r="B160" s="32"/>
      <c r="C160" s="32"/>
      <c r="D160" s="33"/>
      <c r="E160" s="32"/>
      <c r="F160" s="32"/>
      <c r="G160" s="34" t="n">
        <v>0</v>
      </c>
      <c r="H160" s="48" t="str">
        <f aca="false">IF(G160=0,"",G160*0.1)</f>
        <v/>
      </c>
      <c r="I160" s="35" t="str">
        <f aca="false">IF(G160=0,"",G160*1.1)</f>
        <v/>
      </c>
      <c r="J160" s="32"/>
      <c r="K160" s="32"/>
      <c r="L160" s="32"/>
      <c r="M160" s="34" t="n">
        <v>0</v>
      </c>
      <c r="N160" s="32"/>
      <c r="O160" s="13"/>
    </row>
    <row r="161" customFormat="false" ht="15.75" hidden="false" customHeight="true" outlineLevel="0" collapsed="false">
      <c r="B161" s="36"/>
      <c r="C161" s="36"/>
      <c r="D161" s="4"/>
      <c r="E161" s="36"/>
      <c r="F161" s="36"/>
      <c r="G161" s="37" t="n">
        <v>0</v>
      </c>
      <c r="H161" s="49" t="str">
        <f aca="false">IF(G161=0,"",G161*0.1)</f>
        <v/>
      </c>
      <c r="I161" s="35" t="str">
        <f aca="false">IF(G161=0,"",G161*1.1)</f>
        <v/>
      </c>
      <c r="J161" s="36"/>
      <c r="K161" s="36"/>
      <c r="L161" s="36"/>
      <c r="M161" s="37" t="n">
        <v>0</v>
      </c>
      <c r="N161" s="36"/>
      <c r="O161" s="5"/>
    </row>
    <row r="162" customFormat="false" ht="15.75" hidden="false" customHeight="true" outlineLevel="0" collapsed="false">
      <c r="B162" s="32"/>
      <c r="C162" s="32"/>
      <c r="D162" s="33"/>
      <c r="E162" s="32"/>
      <c r="F162" s="32"/>
      <c r="G162" s="34" t="n">
        <v>0</v>
      </c>
      <c r="H162" s="48" t="str">
        <f aca="false">IF(G162=0,"",G162*0.1)</f>
        <v/>
      </c>
      <c r="I162" s="35" t="str">
        <f aca="false">IF(G162=0,"",G162*1.1)</f>
        <v/>
      </c>
      <c r="J162" s="32"/>
      <c r="K162" s="32"/>
      <c r="L162" s="32"/>
      <c r="M162" s="34" t="n">
        <v>0</v>
      </c>
      <c r="N162" s="32"/>
      <c r="O162" s="13"/>
    </row>
    <row r="163" customFormat="false" ht="15.75" hidden="false" customHeight="true" outlineLevel="0" collapsed="false">
      <c r="B163" s="36"/>
      <c r="C163" s="36"/>
      <c r="D163" s="4"/>
      <c r="E163" s="36"/>
      <c r="F163" s="36"/>
      <c r="G163" s="37" t="n">
        <v>0</v>
      </c>
      <c r="H163" s="49" t="str">
        <f aca="false">IF(G163=0,"",G163*0.1)</f>
        <v/>
      </c>
      <c r="I163" s="35" t="str">
        <f aca="false">IF(G163=0,"",G163*1.1)</f>
        <v/>
      </c>
      <c r="J163" s="36"/>
      <c r="K163" s="36"/>
      <c r="L163" s="36"/>
      <c r="M163" s="37" t="n">
        <v>0</v>
      </c>
      <c r="N163" s="36"/>
      <c r="O163" s="5"/>
    </row>
    <row r="164" customFormat="false" ht="15.75" hidden="false" customHeight="true" outlineLevel="0" collapsed="false">
      <c r="B164" s="32"/>
      <c r="C164" s="32"/>
      <c r="D164" s="33"/>
      <c r="E164" s="32"/>
      <c r="F164" s="32"/>
      <c r="G164" s="34" t="n">
        <v>0</v>
      </c>
      <c r="H164" s="48" t="str">
        <f aca="false">IF(G164=0,"",G164*0.1)</f>
        <v/>
      </c>
      <c r="I164" s="35" t="str">
        <f aca="false">IF(G164=0,"",G164*1.1)</f>
        <v/>
      </c>
      <c r="J164" s="32"/>
      <c r="K164" s="32"/>
      <c r="L164" s="32"/>
      <c r="M164" s="34" t="n">
        <v>0</v>
      </c>
      <c r="N164" s="32"/>
      <c r="O164" s="13"/>
    </row>
    <row r="165" customFormat="false" ht="15.75" hidden="false" customHeight="true" outlineLevel="0" collapsed="false">
      <c r="B165" s="36"/>
      <c r="C165" s="36"/>
      <c r="D165" s="4"/>
      <c r="E165" s="36"/>
      <c r="F165" s="36"/>
      <c r="G165" s="37" t="n">
        <v>0</v>
      </c>
      <c r="H165" s="49" t="str">
        <f aca="false">IF(G165=0,"",G165*0.1)</f>
        <v/>
      </c>
      <c r="I165" s="35" t="str">
        <f aca="false">IF(G165=0,"",G165*1.1)</f>
        <v/>
      </c>
      <c r="J165" s="36"/>
      <c r="K165" s="36"/>
      <c r="L165" s="36"/>
      <c r="M165" s="37" t="n">
        <v>0</v>
      </c>
      <c r="N165" s="36"/>
      <c r="O165" s="5"/>
    </row>
    <row r="166" customFormat="false" ht="15.75" hidden="false" customHeight="true" outlineLevel="0" collapsed="false">
      <c r="B166" s="32"/>
      <c r="C166" s="32"/>
      <c r="D166" s="33"/>
      <c r="E166" s="32"/>
      <c r="F166" s="32"/>
      <c r="G166" s="34" t="n">
        <v>0</v>
      </c>
      <c r="H166" s="48" t="str">
        <f aca="false">IF(G166=0,"",G166*0.1)</f>
        <v/>
      </c>
      <c r="I166" s="35" t="str">
        <f aca="false">IF(G166=0,"",G166*1.1)</f>
        <v/>
      </c>
      <c r="J166" s="32"/>
      <c r="K166" s="32"/>
      <c r="L166" s="32"/>
      <c r="M166" s="34" t="n">
        <v>0</v>
      </c>
      <c r="N166" s="32"/>
      <c r="O166" s="13"/>
    </row>
    <row r="167" customFormat="false" ht="15.75" hidden="false" customHeight="true" outlineLevel="0" collapsed="false">
      <c r="B167" s="36"/>
      <c r="C167" s="36"/>
      <c r="D167" s="4"/>
      <c r="E167" s="36"/>
      <c r="F167" s="36"/>
      <c r="G167" s="37" t="n">
        <v>0</v>
      </c>
      <c r="H167" s="49" t="str">
        <f aca="false">IF(G167=0,"",G167*0.1)</f>
        <v/>
      </c>
      <c r="I167" s="35" t="str">
        <f aca="false">IF(G167=0,"",G167*1.1)</f>
        <v/>
      </c>
      <c r="J167" s="36"/>
      <c r="K167" s="36"/>
      <c r="L167" s="36"/>
      <c r="M167" s="37" t="n">
        <v>0</v>
      </c>
      <c r="N167" s="36"/>
      <c r="O167" s="5"/>
    </row>
    <row r="168" customFormat="false" ht="15.75" hidden="false" customHeight="true" outlineLevel="0" collapsed="false">
      <c r="B168" s="32"/>
      <c r="C168" s="32"/>
      <c r="D168" s="33"/>
      <c r="E168" s="32"/>
      <c r="F168" s="32"/>
      <c r="G168" s="34" t="n">
        <v>0</v>
      </c>
      <c r="H168" s="48" t="str">
        <f aca="false">IF(G168=0,"",G168*0.1)</f>
        <v/>
      </c>
      <c r="I168" s="35" t="str">
        <f aca="false">IF(G168=0,"",G168*1.1)</f>
        <v/>
      </c>
      <c r="J168" s="32"/>
      <c r="K168" s="32"/>
      <c r="L168" s="32"/>
      <c r="M168" s="34" t="n">
        <v>0</v>
      </c>
      <c r="N168" s="32"/>
      <c r="O168" s="13"/>
    </row>
    <row r="169" customFormat="false" ht="15.75" hidden="false" customHeight="true" outlineLevel="0" collapsed="false">
      <c r="B169" s="36"/>
      <c r="C169" s="36"/>
      <c r="D169" s="4"/>
      <c r="E169" s="36"/>
      <c r="F169" s="36"/>
      <c r="G169" s="37" t="n">
        <v>0</v>
      </c>
      <c r="H169" s="49" t="str">
        <f aca="false">IF(G169=0,"",G169*0.1)</f>
        <v/>
      </c>
      <c r="I169" s="35" t="str">
        <f aca="false">IF(G169=0,"",G169*1.1)</f>
        <v/>
      </c>
      <c r="J169" s="36"/>
      <c r="K169" s="36"/>
      <c r="L169" s="36"/>
      <c r="M169" s="37" t="n">
        <v>0</v>
      </c>
      <c r="N169" s="36"/>
      <c r="O169" s="5"/>
    </row>
    <row r="170" customFormat="false" ht="15.75" hidden="false" customHeight="true" outlineLevel="0" collapsed="false">
      <c r="B170" s="32"/>
      <c r="C170" s="32"/>
      <c r="D170" s="33"/>
      <c r="E170" s="32"/>
      <c r="F170" s="32"/>
      <c r="G170" s="34" t="n">
        <v>0</v>
      </c>
      <c r="H170" s="48" t="str">
        <f aca="false">IF(G170=0,"",G170*0.1)</f>
        <v/>
      </c>
      <c r="I170" s="35" t="str">
        <f aca="false">IF(G170=0,"",G170*1.1)</f>
        <v/>
      </c>
      <c r="J170" s="32"/>
      <c r="K170" s="32"/>
      <c r="L170" s="32"/>
      <c r="M170" s="34" t="n">
        <v>0</v>
      </c>
      <c r="N170" s="32"/>
      <c r="O170" s="13"/>
    </row>
    <row r="171" customFormat="false" ht="15.75" hidden="false" customHeight="true" outlineLevel="0" collapsed="false">
      <c r="B171" s="36"/>
      <c r="C171" s="36"/>
      <c r="D171" s="4"/>
      <c r="E171" s="36"/>
      <c r="F171" s="36"/>
      <c r="G171" s="37" t="n">
        <v>0</v>
      </c>
      <c r="H171" s="49" t="str">
        <f aca="false">IF(G171=0,"",G171*0.1)</f>
        <v/>
      </c>
      <c r="I171" s="35" t="str">
        <f aca="false">IF(G171=0,"",G171*1.1)</f>
        <v/>
      </c>
      <c r="J171" s="36"/>
      <c r="K171" s="36"/>
      <c r="L171" s="36"/>
      <c r="M171" s="37" t="n">
        <v>0</v>
      </c>
      <c r="N171" s="36"/>
      <c r="O171" s="5"/>
    </row>
    <row r="172" customFormat="false" ht="15.75" hidden="false" customHeight="true" outlineLevel="0" collapsed="false">
      <c r="B172" s="32"/>
      <c r="C172" s="32"/>
      <c r="D172" s="33"/>
      <c r="E172" s="32"/>
      <c r="F172" s="32"/>
      <c r="G172" s="34" t="n">
        <v>0</v>
      </c>
      <c r="H172" s="48" t="str">
        <f aca="false">IF(G172=0,"",G172*0.1)</f>
        <v/>
      </c>
      <c r="I172" s="35" t="str">
        <f aca="false">IF(G172=0,"",G172*1.1)</f>
        <v/>
      </c>
      <c r="J172" s="32"/>
      <c r="K172" s="32"/>
      <c r="L172" s="32"/>
      <c r="M172" s="34" t="n">
        <v>0</v>
      </c>
      <c r="N172" s="32"/>
      <c r="O172" s="13"/>
    </row>
    <row r="173" customFormat="false" ht="15.75" hidden="false" customHeight="true" outlineLevel="0" collapsed="false">
      <c r="B173" s="36"/>
      <c r="C173" s="36"/>
      <c r="D173" s="4"/>
      <c r="E173" s="36"/>
      <c r="F173" s="36"/>
      <c r="G173" s="37" t="n">
        <v>0</v>
      </c>
      <c r="H173" s="49" t="str">
        <f aca="false">IF(G173=0,"",G173*0.1)</f>
        <v/>
      </c>
      <c r="I173" s="35" t="str">
        <f aca="false">IF(G173=0,"",G173*1.1)</f>
        <v/>
      </c>
      <c r="J173" s="36"/>
      <c r="K173" s="36"/>
      <c r="L173" s="36"/>
      <c r="M173" s="37" t="n">
        <v>0</v>
      </c>
      <c r="N173" s="36"/>
      <c r="O173" s="5"/>
    </row>
    <row r="174" customFormat="false" ht="15.75" hidden="false" customHeight="true" outlineLevel="0" collapsed="false">
      <c r="B174" s="32"/>
      <c r="C174" s="32"/>
      <c r="D174" s="33"/>
      <c r="E174" s="32"/>
      <c r="F174" s="32"/>
      <c r="G174" s="34" t="n">
        <v>0</v>
      </c>
      <c r="H174" s="48" t="str">
        <f aca="false">IF(G174=0,"",G174*0.1)</f>
        <v/>
      </c>
      <c r="I174" s="35" t="str">
        <f aca="false">IF(G174=0,"",G174*1.1)</f>
        <v/>
      </c>
      <c r="J174" s="32"/>
      <c r="K174" s="32"/>
      <c r="L174" s="32"/>
      <c r="M174" s="34" t="n">
        <v>0</v>
      </c>
      <c r="N174" s="32"/>
      <c r="O174" s="13"/>
    </row>
    <row r="175" customFormat="false" ht="15.75" hidden="false" customHeight="true" outlineLevel="0" collapsed="false">
      <c r="B175" s="36"/>
      <c r="C175" s="36"/>
      <c r="D175" s="4"/>
      <c r="E175" s="36"/>
      <c r="F175" s="36"/>
      <c r="G175" s="37" t="n">
        <v>0</v>
      </c>
      <c r="H175" s="49" t="str">
        <f aca="false">IF(G175=0,"",G175*0.1)</f>
        <v/>
      </c>
      <c r="I175" s="35" t="str">
        <f aca="false">IF(G175=0,"",G175*1.1)</f>
        <v/>
      </c>
      <c r="J175" s="36"/>
      <c r="K175" s="36"/>
      <c r="L175" s="36"/>
      <c r="M175" s="37" t="n">
        <v>0</v>
      </c>
      <c r="N175" s="36"/>
      <c r="O175" s="5"/>
    </row>
    <row r="176" customFormat="false" ht="15.75" hidden="false" customHeight="true" outlineLevel="0" collapsed="false">
      <c r="B176" s="32"/>
      <c r="C176" s="32"/>
      <c r="D176" s="33"/>
      <c r="E176" s="32"/>
      <c r="F176" s="32"/>
      <c r="G176" s="34" t="n">
        <v>0</v>
      </c>
      <c r="H176" s="48" t="str">
        <f aca="false">IF(G176=0,"",G176*0.1)</f>
        <v/>
      </c>
      <c r="I176" s="35" t="str">
        <f aca="false">IF(G176=0,"",G176*1.1)</f>
        <v/>
      </c>
      <c r="J176" s="32"/>
      <c r="K176" s="32"/>
      <c r="L176" s="32"/>
      <c r="M176" s="34" t="n">
        <v>0</v>
      </c>
      <c r="N176" s="32"/>
      <c r="O176" s="13"/>
    </row>
    <row r="177" customFormat="false" ht="15.75" hidden="false" customHeight="true" outlineLevel="0" collapsed="false">
      <c r="B177" s="36"/>
      <c r="C177" s="36"/>
      <c r="D177" s="4"/>
      <c r="E177" s="36"/>
      <c r="F177" s="36"/>
      <c r="G177" s="37" t="n">
        <v>0</v>
      </c>
      <c r="H177" s="49" t="str">
        <f aca="false">IF(G177=0,"",G177*0.1)</f>
        <v/>
      </c>
      <c r="I177" s="35" t="str">
        <f aca="false">IF(G177=0,"",G177*1.1)</f>
        <v/>
      </c>
      <c r="J177" s="36"/>
      <c r="K177" s="36"/>
      <c r="L177" s="36"/>
      <c r="M177" s="37" t="n">
        <v>0</v>
      </c>
      <c r="N177" s="36"/>
      <c r="O177" s="5"/>
    </row>
    <row r="178" customFormat="false" ht="15.75" hidden="false" customHeight="true" outlineLevel="0" collapsed="false">
      <c r="B178" s="32"/>
      <c r="C178" s="32"/>
      <c r="D178" s="33"/>
      <c r="E178" s="32"/>
      <c r="F178" s="32"/>
      <c r="G178" s="34" t="n">
        <v>0</v>
      </c>
      <c r="H178" s="48" t="str">
        <f aca="false">IF(G178=0,"",G178*0.1)</f>
        <v/>
      </c>
      <c r="I178" s="35" t="str">
        <f aca="false">IF(G178=0,"",G178*1.1)</f>
        <v/>
      </c>
      <c r="J178" s="32"/>
      <c r="K178" s="32"/>
      <c r="L178" s="32"/>
      <c r="M178" s="34" t="n">
        <v>0</v>
      </c>
      <c r="N178" s="32"/>
      <c r="O178" s="13"/>
    </row>
    <row r="179" customFormat="false" ht="15.75" hidden="false" customHeight="true" outlineLevel="0" collapsed="false">
      <c r="B179" s="36"/>
      <c r="C179" s="36"/>
      <c r="D179" s="4"/>
      <c r="E179" s="36"/>
      <c r="F179" s="36"/>
      <c r="G179" s="37" t="n">
        <v>0</v>
      </c>
      <c r="H179" s="49" t="str">
        <f aca="false">IF(G179=0,"",G179*0.1)</f>
        <v/>
      </c>
      <c r="I179" s="35" t="str">
        <f aca="false">IF(G179=0,"",G179*1.1)</f>
        <v/>
      </c>
      <c r="J179" s="36"/>
      <c r="K179" s="36"/>
      <c r="L179" s="36"/>
      <c r="M179" s="37" t="n">
        <v>0</v>
      </c>
      <c r="N179" s="36"/>
      <c r="O179" s="5"/>
    </row>
    <row r="180" customFormat="false" ht="15.75" hidden="false" customHeight="true" outlineLevel="0" collapsed="false">
      <c r="B180" s="32"/>
      <c r="C180" s="32"/>
      <c r="D180" s="33"/>
      <c r="E180" s="32"/>
      <c r="F180" s="32"/>
      <c r="G180" s="34" t="n">
        <v>0</v>
      </c>
      <c r="H180" s="48" t="str">
        <f aca="false">IF(G180=0,"",G180*0.1)</f>
        <v/>
      </c>
      <c r="I180" s="35" t="str">
        <f aca="false">IF(G180=0,"",G180*1.1)</f>
        <v/>
      </c>
      <c r="J180" s="32"/>
      <c r="K180" s="32"/>
      <c r="L180" s="32"/>
      <c r="M180" s="34" t="n">
        <v>0</v>
      </c>
      <c r="N180" s="32"/>
      <c r="O180" s="13"/>
    </row>
    <row r="181" customFormat="false" ht="15.75" hidden="false" customHeight="true" outlineLevel="0" collapsed="false">
      <c r="B181" s="36"/>
      <c r="C181" s="36"/>
      <c r="D181" s="4"/>
      <c r="E181" s="36"/>
      <c r="F181" s="36"/>
      <c r="G181" s="37" t="n">
        <v>0</v>
      </c>
      <c r="H181" s="49" t="str">
        <f aca="false">IF(G181=0,"",G181*0.1)</f>
        <v/>
      </c>
      <c r="I181" s="35" t="str">
        <f aca="false">IF(G181=0,"",G181*1.1)</f>
        <v/>
      </c>
      <c r="J181" s="36"/>
      <c r="K181" s="36"/>
      <c r="L181" s="36"/>
      <c r="M181" s="37" t="n">
        <v>0</v>
      </c>
      <c r="N181" s="36"/>
      <c r="O181" s="5"/>
    </row>
    <row r="182" customFormat="false" ht="15.75" hidden="false" customHeight="true" outlineLevel="0" collapsed="false">
      <c r="B182" s="32"/>
      <c r="C182" s="32"/>
      <c r="D182" s="33"/>
      <c r="E182" s="32"/>
      <c r="F182" s="32"/>
      <c r="G182" s="34" t="n">
        <v>0</v>
      </c>
      <c r="H182" s="48" t="str">
        <f aca="false">IF(G182=0,"",G182*0.1)</f>
        <v/>
      </c>
      <c r="I182" s="35" t="str">
        <f aca="false">IF(G182=0,"",G182*1.1)</f>
        <v/>
      </c>
      <c r="J182" s="32"/>
      <c r="K182" s="32"/>
      <c r="L182" s="32"/>
      <c r="M182" s="34" t="n">
        <v>0</v>
      </c>
      <c r="N182" s="32"/>
      <c r="O182" s="13"/>
    </row>
    <row r="183" customFormat="false" ht="15.75" hidden="false" customHeight="true" outlineLevel="0" collapsed="false">
      <c r="B183" s="36"/>
      <c r="C183" s="36"/>
      <c r="D183" s="4"/>
      <c r="E183" s="36"/>
      <c r="F183" s="36"/>
      <c r="G183" s="37" t="n">
        <v>0</v>
      </c>
      <c r="H183" s="49" t="str">
        <f aca="false">IF(G183=0,"",G183*0.1)</f>
        <v/>
      </c>
      <c r="I183" s="35" t="str">
        <f aca="false">IF(G183=0,"",G183*1.1)</f>
        <v/>
      </c>
      <c r="J183" s="36"/>
      <c r="K183" s="36"/>
      <c r="L183" s="36"/>
      <c r="M183" s="37" t="n">
        <v>0</v>
      </c>
      <c r="N183" s="36"/>
      <c r="O183" s="5"/>
    </row>
    <row r="184" customFormat="false" ht="15.75" hidden="false" customHeight="true" outlineLevel="0" collapsed="false">
      <c r="B184" s="32"/>
      <c r="C184" s="32"/>
      <c r="D184" s="33"/>
      <c r="E184" s="32"/>
      <c r="F184" s="32"/>
      <c r="G184" s="34" t="n">
        <v>0</v>
      </c>
      <c r="H184" s="48" t="str">
        <f aca="false">IF(G184=0,"",G184*0.1)</f>
        <v/>
      </c>
      <c r="I184" s="35" t="str">
        <f aca="false">IF(G184=0,"",G184*1.1)</f>
        <v/>
      </c>
      <c r="J184" s="32"/>
      <c r="K184" s="32"/>
      <c r="L184" s="32"/>
      <c r="M184" s="34" t="n">
        <v>0</v>
      </c>
      <c r="N184" s="32"/>
      <c r="O184" s="13"/>
    </row>
    <row r="185" customFormat="false" ht="15.75" hidden="false" customHeight="true" outlineLevel="0" collapsed="false">
      <c r="B185" s="36"/>
      <c r="C185" s="36"/>
      <c r="D185" s="4"/>
      <c r="E185" s="36"/>
      <c r="F185" s="36"/>
      <c r="G185" s="37" t="n">
        <v>0</v>
      </c>
      <c r="H185" s="49" t="str">
        <f aca="false">IF(G185=0,"",G185*0.1)</f>
        <v/>
      </c>
      <c r="I185" s="35" t="str">
        <f aca="false">IF(G185=0,"",G185*1.1)</f>
        <v/>
      </c>
      <c r="J185" s="36"/>
      <c r="K185" s="36"/>
      <c r="L185" s="36"/>
      <c r="M185" s="37" t="n">
        <v>0</v>
      </c>
      <c r="N185" s="36"/>
      <c r="O185" s="5"/>
    </row>
    <row r="186" customFormat="false" ht="15.75" hidden="false" customHeight="true" outlineLevel="0" collapsed="false">
      <c r="B186" s="32"/>
      <c r="C186" s="32"/>
      <c r="D186" s="33"/>
      <c r="E186" s="32"/>
      <c r="F186" s="32"/>
      <c r="G186" s="34" t="n">
        <v>0</v>
      </c>
      <c r="H186" s="48" t="str">
        <f aca="false">IF(G186=0,"",G186*0.1)</f>
        <v/>
      </c>
      <c r="I186" s="35" t="str">
        <f aca="false">IF(G186=0,"",G186*1.1)</f>
        <v/>
      </c>
      <c r="J186" s="32"/>
      <c r="K186" s="32"/>
      <c r="L186" s="32"/>
      <c r="M186" s="34" t="n">
        <v>0</v>
      </c>
      <c r="N186" s="32"/>
      <c r="O186" s="13"/>
    </row>
    <row r="187" customFormat="false" ht="15.75" hidden="false" customHeight="true" outlineLevel="0" collapsed="false">
      <c r="B187" s="36"/>
      <c r="C187" s="36"/>
      <c r="D187" s="4"/>
      <c r="E187" s="36"/>
      <c r="F187" s="36"/>
      <c r="G187" s="37" t="n">
        <v>0</v>
      </c>
      <c r="H187" s="49" t="str">
        <f aca="false">IF(G187=0,"",G187*0.1)</f>
        <v/>
      </c>
      <c r="I187" s="35" t="str">
        <f aca="false">IF(G187=0,"",G187*1.1)</f>
        <v/>
      </c>
      <c r="J187" s="36"/>
      <c r="K187" s="36"/>
      <c r="L187" s="36"/>
      <c r="M187" s="37" t="n">
        <v>0</v>
      </c>
      <c r="N187" s="36"/>
      <c r="O187" s="5"/>
    </row>
    <row r="188" customFormat="false" ht="15.75" hidden="false" customHeight="true" outlineLevel="0" collapsed="false">
      <c r="B188" s="32"/>
      <c r="C188" s="32"/>
      <c r="D188" s="33"/>
      <c r="E188" s="32"/>
      <c r="F188" s="32"/>
      <c r="G188" s="34" t="n">
        <v>0</v>
      </c>
      <c r="H188" s="48" t="str">
        <f aca="false">IF(G188=0,"",G188*0.1)</f>
        <v/>
      </c>
      <c r="I188" s="35" t="str">
        <f aca="false">IF(G188=0,"",G188*1.1)</f>
        <v/>
      </c>
      <c r="J188" s="32"/>
      <c r="K188" s="32"/>
      <c r="L188" s="32"/>
      <c r="M188" s="34" t="n">
        <v>0</v>
      </c>
      <c r="N188" s="32"/>
      <c r="O188" s="13"/>
    </row>
    <row r="189" customFormat="false" ht="15.75" hidden="false" customHeight="true" outlineLevel="0" collapsed="false">
      <c r="B189" s="36"/>
      <c r="C189" s="36"/>
      <c r="D189" s="4"/>
      <c r="E189" s="36"/>
      <c r="F189" s="36"/>
      <c r="G189" s="37" t="n">
        <v>0</v>
      </c>
      <c r="H189" s="49" t="str">
        <f aca="false">IF(G189=0,"",G189*0.1)</f>
        <v/>
      </c>
      <c r="I189" s="35" t="str">
        <f aca="false">IF(G189=0,"",G189*1.1)</f>
        <v/>
      </c>
      <c r="J189" s="36"/>
      <c r="K189" s="36"/>
      <c r="L189" s="36"/>
      <c r="M189" s="37" t="n">
        <v>0</v>
      </c>
      <c r="N189" s="36"/>
      <c r="O189" s="5"/>
    </row>
    <row r="190" customFormat="false" ht="15.75" hidden="false" customHeight="true" outlineLevel="0" collapsed="false">
      <c r="B190" s="32"/>
      <c r="C190" s="32"/>
      <c r="D190" s="33"/>
      <c r="E190" s="32"/>
      <c r="F190" s="32"/>
      <c r="G190" s="34" t="n">
        <v>0</v>
      </c>
      <c r="H190" s="48" t="str">
        <f aca="false">IF(G190=0,"",G190*0.1)</f>
        <v/>
      </c>
      <c r="I190" s="35" t="str">
        <f aca="false">IF(G190=0,"",G190*1.1)</f>
        <v/>
      </c>
      <c r="J190" s="32"/>
      <c r="K190" s="32"/>
      <c r="L190" s="32"/>
      <c r="M190" s="34" t="n">
        <v>0</v>
      </c>
      <c r="N190" s="32"/>
      <c r="O190" s="13"/>
    </row>
    <row r="191" customFormat="false" ht="15.75" hidden="false" customHeight="true" outlineLevel="0" collapsed="false">
      <c r="B191" s="36"/>
      <c r="C191" s="36"/>
      <c r="D191" s="4"/>
      <c r="E191" s="36"/>
      <c r="F191" s="36"/>
      <c r="G191" s="37" t="n">
        <v>0</v>
      </c>
      <c r="H191" s="49" t="str">
        <f aca="false">IF(G191=0,"",G191*0.1)</f>
        <v/>
      </c>
      <c r="I191" s="35" t="str">
        <f aca="false">IF(G191=0,"",G191*1.1)</f>
        <v/>
      </c>
      <c r="J191" s="36"/>
      <c r="K191" s="36"/>
      <c r="L191" s="36"/>
      <c r="M191" s="37" t="n">
        <v>0</v>
      </c>
      <c r="N191" s="36"/>
      <c r="O191" s="5"/>
    </row>
    <row r="192" customFormat="false" ht="15.75" hidden="false" customHeight="true" outlineLevel="0" collapsed="false">
      <c r="B192" s="32"/>
      <c r="C192" s="32"/>
      <c r="D192" s="33"/>
      <c r="E192" s="32"/>
      <c r="F192" s="32"/>
      <c r="G192" s="34" t="n">
        <v>0</v>
      </c>
      <c r="H192" s="48" t="str">
        <f aca="false">IF(G192=0,"",G192*0.1)</f>
        <v/>
      </c>
      <c r="I192" s="35" t="str">
        <f aca="false">IF(G192=0,"",G192*1.1)</f>
        <v/>
      </c>
      <c r="J192" s="32"/>
      <c r="K192" s="32"/>
      <c r="L192" s="32"/>
      <c r="M192" s="34" t="n">
        <v>0</v>
      </c>
      <c r="N192" s="32"/>
      <c r="O192" s="13"/>
    </row>
    <row r="193" customFormat="false" ht="15.75" hidden="false" customHeight="true" outlineLevel="0" collapsed="false">
      <c r="B193" s="36"/>
      <c r="C193" s="36"/>
      <c r="D193" s="4"/>
      <c r="E193" s="36"/>
      <c r="F193" s="36"/>
      <c r="G193" s="37" t="n">
        <v>0</v>
      </c>
      <c r="H193" s="49" t="str">
        <f aca="false">IF(G193=0,"",G193*0.1)</f>
        <v/>
      </c>
      <c r="I193" s="35" t="str">
        <f aca="false">IF(G193=0,"",G193*1.1)</f>
        <v/>
      </c>
      <c r="J193" s="36"/>
      <c r="K193" s="36"/>
      <c r="L193" s="36"/>
      <c r="M193" s="37" t="n">
        <v>0</v>
      </c>
      <c r="N193" s="36"/>
      <c r="O193" s="5"/>
    </row>
    <row r="194" customFormat="false" ht="15.75" hidden="false" customHeight="true" outlineLevel="0" collapsed="false">
      <c r="B194" s="32"/>
      <c r="C194" s="32"/>
      <c r="D194" s="33"/>
      <c r="E194" s="32"/>
      <c r="F194" s="32"/>
      <c r="G194" s="34" t="n">
        <v>0</v>
      </c>
      <c r="H194" s="48" t="str">
        <f aca="false">IF(G194=0,"",G194*0.1)</f>
        <v/>
      </c>
      <c r="I194" s="35" t="str">
        <f aca="false">IF(G194=0,"",G194*1.1)</f>
        <v/>
      </c>
      <c r="J194" s="32"/>
      <c r="K194" s="32"/>
      <c r="L194" s="32"/>
      <c r="M194" s="34" t="n">
        <v>0</v>
      </c>
      <c r="N194" s="32"/>
      <c r="O194" s="13"/>
    </row>
    <row r="195" customFormat="false" ht="15.75" hidden="false" customHeight="true" outlineLevel="0" collapsed="false">
      <c r="B195" s="36"/>
      <c r="C195" s="36"/>
      <c r="D195" s="4"/>
      <c r="E195" s="36"/>
      <c r="F195" s="36"/>
      <c r="G195" s="37" t="n">
        <v>0</v>
      </c>
      <c r="H195" s="49" t="str">
        <f aca="false">IF(G195=0,"",G195*0.1)</f>
        <v/>
      </c>
      <c r="I195" s="35" t="str">
        <f aca="false">IF(G195=0,"",G195*1.1)</f>
        <v/>
      </c>
      <c r="J195" s="36"/>
      <c r="K195" s="36"/>
      <c r="L195" s="36"/>
      <c r="M195" s="37" t="n">
        <v>0</v>
      </c>
      <c r="N195" s="36"/>
      <c r="O195" s="5"/>
    </row>
    <row r="196" customFormat="false" ht="15.75" hidden="false" customHeight="true" outlineLevel="0" collapsed="false">
      <c r="B196" s="32"/>
      <c r="C196" s="32"/>
      <c r="D196" s="33"/>
      <c r="E196" s="32"/>
      <c r="F196" s="32"/>
      <c r="G196" s="34" t="n">
        <v>0</v>
      </c>
      <c r="H196" s="48" t="str">
        <f aca="false">IF(G196=0,"",G196*0.1)</f>
        <v/>
      </c>
      <c r="I196" s="35" t="str">
        <f aca="false">IF(G196=0,"",G196*1.1)</f>
        <v/>
      </c>
      <c r="J196" s="32"/>
      <c r="K196" s="32"/>
      <c r="L196" s="32"/>
      <c r="M196" s="34" t="n">
        <v>0</v>
      </c>
      <c r="N196" s="32"/>
      <c r="O196" s="13"/>
    </row>
    <row r="197" customFormat="false" ht="15.75" hidden="false" customHeight="true" outlineLevel="0" collapsed="false">
      <c r="B197" s="36"/>
      <c r="C197" s="36"/>
      <c r="D197" s="4"/>
      <c r="E197" s="36"/>
      <c r="F197" s="36"/>
      <c r="G197" s="37" t="n">
        <v>0</v>
      </c>
      <c r="H197" s="49" t="str">
        <f aca="false">IF(G197=0,"",G197*0.1)</f>
        <v/>
      </c>
      <c r="I197" s="35" t="str">
        <f aca="false">IF(G197=0,"",G197*1.1)</f>
        <v/>
      </c>
      <c r="J197" s="36"/>
      <c r="K197" s="36"/>
      <c r="L197" s="36"/>
      <c r="M197" s="37" t="n">
        <v>0</v>
      </c>
      <c r="N197" s="36"/>
      <c r="O197" s="5"/>
    </row>
    <row r="198" customFormat="false" ht="15.75" hidden="false" customHeight="true" outlineLevel="0" collapsed="false">
      <c r="B198" s="32"/>
      <c r="C198" s="32"/>
      <c r="D198" s="33"/>
      <c r="E198" s="32"/>
      <c r="F198" s="32"/>
      <c r="G198" s="34" t="n">
        <v>0</v>
      </c>
      <c r="H198" s="48" t="str">
        <f aca="false">IF(G198=0,"",G198*0.1)</f>
        <v/>
      </c>
      <c r="I198" s="35" t="str">
        <f aca="false">IF(G198=0,"",G198*1.1)</f>
        <v/>
      </c>
      <c r="J198" s="32"/>
      <c r="K198" s="32"/>
      <c r="L198" s="32"/>
      <c r="M198" s="34" t="n">
        <v>0</v>
      </c>
      <c r="N198" s="32"/>
      <c r="O198" s="13"/>
    </row>
    <row r="199" customFormat="false" ht="15.75" hidden="false" customHeight="true" outlineLevel="0" collapsed="false">
      <c r="B199" s="36"/>
      <c r="C199" s="36"/>
      <c r="D199" s="4"/>
      <c r="E199" s="36"/>
      <c r="F199" s="36"/>
      <c r="G199" s="37" t="n">
        <v>0</v>
      </c>
      <c r="H199" s="49" t="str">
        <f aca="false">IF(G199=0,"",G199*0.1)</f>
        <v/>
      </c>
      <c r="I199" s="35" t="str">
        <f aca="false">IF(G199=0,"",G199*1.1)</f>
        <v/>
      </c>
      <c r="J199" s="36"/>
      <c r="K199" s="36"/>
      <c r="L199" s="36"/>
      <c r="M199" s="37" t="n">
        <v>0</v>
      </c>
      <c r="N199" s="36"/>
      <c r="O199" s="5"/>
    </row>
    <row r="200" customFormat="false" ht="15.75" hidden="false" customHeight="true" outlineLevel="0" collapsed="false">
      <c r="B200" s="32"/>
      <c r="C200" s="32"/>
      <c r="D200" s="33"/>
      <c r="E200" s="32"/>
      <c r="F200" s="32"/>
      <c r="G200" s="34" t="n">
        <v>0</v>
      </c>
      <c r="H200" s="48" t="str">
        <f aca="false">IF(G200=0,"",G200*0.1)</f>
        <v/>
      </c>
      <c r="I200" s="35" t="str">
        <f aca="false">IF(G200=0,"",G200*1.1)</f>
        <v/>
      </c>
      <c r="J200" s="32"/>
      <c r="K200" s="32"/>
      <c r="L200" s="32"/>
      <c r="M200" s="34" t="n">
        <v>0</v>
      </c>
      <c r="N200" s="32"/>
      <c r="O200" s="13"/>
    </row>
    <row r="201" customFormat="false" ht="15.75" hidden="false" customHeight="true" outlineLevel="0" collapsed="false">
      <c r="B201" s="36"/>
      <c r="C201" s="36"/>
      <c r="D201" s="4"/>
      <c r="E201" s="36"/>
      <c r="F201" s="36"/>
      <c r="G201" s="37" t="n">
        <v>0</v>
      </c>
      <c r="H201" s="49" t="str">
        <f aca="false">IF(G201=0,"",G201*0.1)</f>
        <v/>
      </c>
      <c r="I201" s="35" t="str">
        <f aca="false">IF(G201=0,"",G201*1.1)</f>
        <v/>
      </c>
      <c r="J201" s="36"/>
      <c r="K201" s="36"/>
      <c r="L201" s="36"/>
      <c r="M201" s="37" t="n">
        <v>0</v>
      </c>
      <c r="N201" s="36"/>
      <c r="O201" s="5"/>
    </row>
    <row r="202" customFormat="false" ht="15.75" hidden="false" customHeight="true" outlineLevel="0" collapsed="false">
      <c r="B202" s="32"/>
      <c r="C202" s="32"/>
      <c r="D202" s="33"/>
      <c r="E202" s="32"/>
      <c r="F202" s="32"/>
      <c r="G202" s="34" t="n">
        <v>0</v>
      </c>
      <c r="H202" s="48" t="str">
        <f aca="false">IF(G202=0,"",G202*0.1)</f>
        <v/>
      </c>
      <c r="I202" s="35" t="str">
        <f aca="false">IF(G202=0,"",G202*1.1)</f>
        <v/>
      </c>
      <c r="J202" s="32"/>
      <c r="K202" s="32"/>
      <c r="L202" s="32"/>
      <c r="M202" s="34" t="n">
        <v>0</v>
      </c>
      <c r="N202" s="32"/>
      <c r="O202" s="13"/>
    </row>
    <row r="203" customFormat="false" ht="15.75" hidden="false" customHeight="true" outlineLevel="0" collapsed="false">
      <c r="B203" s="36"/>
      <c r="C203" s="36"/>
      <c r="D203" s="4"/>
      <c r="E203" s="36"/>
      <c r="F203" s="36"/>
      <c r="G203" s="37" t="n">
        <v>0</v>
      </c>
      <c r="H203" s="49" t="str">
        <f aca="false">IF(G203=0,"",G203*0.1)</f>
        <v/>
      </c>
      <c r="I203" s="35" t="str">
        <f aca="false">IF(G203=0,"",G203*1.1)</f>
        <v/>
      </c>
      <c r="J203" s="36"/>
      <c r="K203" s="36"/>
      <c r="L203" s="36"/>
      <c r="M203" s="37" t="n">
        <v>0</v>
      </c>
      <c r="N203" s="36"/>
      <c r="O203" s="5"/>
    </row>
    <row r="204" customFormat="false" ht="15.75" hidden="false" customHeight="true" outlineLevel="0" collapsed="false">
      <c r="B204" s="32"/>
      <c r="C204" s="32"/>
      <c r="D204" s="33"/>
      <c r="E204" s="32"/>
      <c r="F204" s="32"/>
      <c r="G204" s="34" t="n">
        <v>0</v>
      </c>
      <c r="H204" s="48" t="str">
        <f aca="false">IF(G204=0,"",G204*0.1)</f>
        <v/>
      </c>
      <c r="I204" s="35" t="str">
        <f aca="false">IF(G204=0,"",G204*1.1)</f>
        <v/>
      </c>
      <c r="J204" s="32"/>
      <c r="K204" s="32"/>
      <c r="L204" s="32"/>
      <c r="M204" s="34" t="n">
        <v>0</v>
      </c>
      <c r="N204" s="32"/>
      <c r="O204" s="13"/>
    </row>
    <row r="205" customFormat="false" ht="15.75" hidden="false" customHeight="true" outlineLevel="0" collapsed="false">
      <c r="B205" s="36"/>
      <c r="C205" s="36"/>
      <c r="D205" s="4"/>
      <c r="E205" s="36"/>
      <c r="F205" s="36"/>
      <c r="G205" s="37" t="n">
        <v>0</v>
      </c>
      <c r="H205" s="49" t="str">
        <f aca="false">IF(G205=0,"",G205*0.1)</f>
        <v/>
      </c>
      <c r="I205" s="35" t="str">
        <f aca="false">IF(G205=0,"",G205*1.1)</f>
        <v/>
      </c>
      <c r="J205" s="36"/>
      <c r="K205" s="36"/>
      <c r="L205" s="36"/>
      <c r="M205" s="37" t="n">
        <v>0</v>
      </c>
      <c r="N205" s="36"/>
      <c r="O205" s="5"/>
    </row>
    <row r="206" customFormat="false" ht="15.75" hidden="false" customHeight="true" outlineLevel="0" collapsed="false">
      <c r="B206" s="32"/>
      <c r="C206" s="32"/>
      <c r="D206" s="33"/>
      <c r="E206" s="32"/>
      <c r="F206" s="32"/>
      <c r="G206" s="34" t="n">
        <v>0</v>
      </c>
      <c r="H206" s="48" t="str">
        <f aca="false">IF(G206=0,"",G206*0.1)</f>
        <v/>
      </c>
      <c r="I206" s="35" t="str">
        <f aca="false">IF(G206=0,"",G206*1.1)</f>
        <v/>
      </c>
      <c r="J206" s="32"/>
      <c r="K206" s="32"/>
      <c r="L206" s="32"/>
      <c r="M206" s="34" t="n">
        <v>0</v>
      </c>
      <c r="N206" s="32"/>
      <c r="O206" s="13"/>
    </row>
    <row r="207" customFormat="false" ht="15.75" hidden="false" customHeight="true" outlineLevel="0" collapsed="false">
      <c r="B207" s="36"/>
      <c r="C207" s="36"/>
      <c r="D207" s="4"/>
      <c r="E207" s="36"/>
      <c r="F207" s="36"/>
      <c r="G207" s="37" t="n">
        <v>0</v>
      </c>
      <c r="H207" s="49" t="str">
        <f aca="false">IF(G207=0,"",G207*0.1)</f>
        <v/>
      </c>
      <c r="I207" s="35" t="str">
        <f aca="false">IF(G207=0,"",G207*1.1)</f>
        <v/>
      </c>
      <c r="J207" s="36"/>
      <c r="K207" s="36"/>
      <c r="L207" s="36"/>
      <c r="M207" s="37" t="n">
        <v>0</v>
      </c>
      <c r="N207" s="36"/>
      <c r="O207" s="5"/>
    </row>
    <row r="208" customFormat="false" ht="15.75" hidden="false" customHeight="true" outlineLevel="0" collapsed="false">
      <c r="B208" s="32"/>
      <c r="C208" s="32"/>
      <c r="D208" s="33"/>
      <c r="E208" s="32"/>
      <c r="F208" s="32"/>
      <c r="G208" s="34" t="n">
        <v>0</v>
      </c>
      <c r="H208" s="48" t="str">
        <f aca="false">IF(G208=0,"",G208*0.1)</f>
        <v/>
      </c>
      <c r="I208" s="35" t="str">
        <f aca="false">IF(G208=0,"",G208*1.1)</f>
        <v/>
      </c>
      <c r="J208" s="32"/>
      <c r="K208" s="32"/>
      <c r="L208" s="32"/>
      <c r="M208" s="34" t="n">
        <v>0</v>
      </c>
      <c r="N208" s="32"/>
      <c r="O208" s="13"/>
    </row>
    <row r="209" customFormat="false" ht="15.75" hidden="false" customHeight="true" outlineLevel="0" collapsed="false">
      <c r="B209" s="36"/>
      <c r="C209" s="36"/>
      <c r="D209" s="4"/>
      <c r="E209" s="36"/>
      <c r="F209" s="36"/>
      <c r="G209" s="37" t="n">
        <v>0</v>
      </c>
      <c r="H209" s="49" t="str">
        <f aca="false">IF(G209=0,"",G209*0.1)</f>
        <v/>
      </c>
      <c r="I209" s="35" t="str">
        <f aca="false">IF(G209=0,"",G209*1.1)</f>
        <v/>
      </c>
      <c r="J209" s="36"/>
      <c r="K209" s="36"/>
      <c r="L209" s="36"/>
      <c r="M209" s="37" t="n">
        <v>0</v>
      </c>
      <c r="N209" s="36"/>
      <c r="O209" s="5"/>
    </row>
    <row r="210" customFormat="false" ht="15.75" hidden="false" customHeight="true" outlineLevel="0" collapsed="false">
      <c r="B210" s="32"/>
      <c r="C210" s="32"/>
      <c r="D210" s="33"/>
      <c r="E210" s="32"/>
      <c r="F210" s="32"/>
      <c r="G210" s="34" t="n">
        <v>0</v>
      </c>
      <c r="H210" s="48" t="str">
        <f aca="false">IF(G210=0,"",G210*0.1)</f>
        <v/>
      </c>
      <c r="I210" s="35" t="str">
        <f aca="false">IF(G210=0,"",G210*1.1)</f>
        <v/>
      </c>
      <c r="J210" s="32"/>
      <c r="K210" s="32"/>
      <c r="L210" s="32"/>
      <c r="M210" s="34" t="n">
        <v>0</v>
      </c>
      <c r="N210" s="32"/>
      <c r="O210" s="13"/>
    </row>
    <row r="211" customFormat="false" ht="15.75" hidden="false" customHeight="true" outlineLevel="0" collapsed="false">
      <c r="B211" s="36"/>
      <c r="C211" s="36"/>
      <c r="D211" s="4"/>
      <c r="E211" s="36"/>
      <c r="F211" s="36"/>
      <c r="G211" s="37" t="n">
        <v>0</v>
      </c>
      <c r="H211" s="49" t="str">
        <f aca="false">IF(G211=0,"",G211*0.1)</f>
        <v/>
      </c>
      <c r="I211" s="35" t="str">
        <f aca="false">IF(G211=0,"",G211*1.1)</f>
        <v/>
      </c>
      <c r="J211" s="36"/>
      <c r="K211" s="36"/>
      <c r="L211" s="36"/>
      <c r="M211" s="37" t="n">
        <v>0</v>
      </c>
      <c r="N211" s="36"/>
      <c r="O211" s="5"/>
    </row>
    <row r="212" customFormat="false" ht="15.75" hidden="false" customHeight="true" outlineLevel="0" collapsed="false">
      <c r="B212" s="32"/>
      <c r="C212" s="32"/>
      <c r="D212" s="33"/>
      <c r="E212" s="32"/>
      <c r="F212" s="32"/>
      <c r="G212" s="34" t="n">
        <v>0</v>
      </c>
      <c r="H212" s="48" t="str">
        <f aca="false">IF(G212=0,"",G212*0.1)</f>
        <v/>
      </c>
      <c r="I212" s="35" t="str">
        <f aca="false">IF(G212=0,"",G212*1.1)</f>
        <v/>
      </c>
      <c r="J212" s="32"/>
      <c r="K212" s="32"/>
      <c r="L212" s="32"/>
      <c r="M212" s="34" t="n">
        <v>0</v>
      </c>
      <c r="N212" s="32"/>
      <c r="O212" s="13"/>
    </row>
    <row r="213" customFormat="false" ht="15.75" hidden="false" customHeight="true" outlineLevel="0" collapsed="false">
      <c r="B213" s="36"/>
      <c r="C213" s="36"/>
      <c r="D213" s="4"/>
      <c r="E213" s="36"/>
      <c r="F213" s="36"/>
      <c r="G213" s="37" t="n">
        <v>0</v>
      </c>
      <c r="H213" s="49" t="str">
        <f aca="false">IF(G213=0,"",G213*0.1)</f>
        <v/>
      </c>
      <c r="I213" s="35" t="str">
        <f aca="false">IF(G213=0,"",G213*1.1)</f>
        <v/>
      </c>
      <c r="J213" s="36"/>
      <c r="K213" s="36"/>
      <c r="L213" s="36"/>
      <c r="M213" s="37" t="n">
        <v>0</v>
      </c>
      <c r="N213" s="36"/>
      <c r="O213" s="5"/>
    </row>
    <row r="214" customFormat="false" ht="15.75" hidden="false" customHeight="true" outlineLevel="0" collapsed="false">
      <c r="B214" s="32"/>
      <c r="C214" s="32"/>
      <c r="D214" s="33"/>
      <c r="E214" s="32"/>
      <c r="F214" s="32"/>
      <c r="G214" s="34" t="n">
        <v>0</v>
      </c>
      <c r="H214" s="48" t="str">
        <f aca="false">IF(G214=0,"",G214*0.1)</f>
        <v/>
      </c>
      <c r="I214" s="35" t="str">
        <f aca="false">IF(G214=0,"",G214*1.1)</f>
        <v/>
      </c>
      <c r="J214" s="32"/>
      <c r="K214" s="32"/>
      <c r="L214" s="32"/>
      <c r="M214" s="34" t="n">
        <v>0</v>
      </c>
      <c r="N214" s="32"/>
      <c r="O214" s="13"/>
    </row>
    <row r="215" customFormat="false" ht="15.75" hidden="false" customHeight="true" outlineLevel="0" collapsed="false">
      <c r="B215" s="36"/>
      <c r="C215" s="36"/>
      <c r="D215" s="4"/>
      <c r="E215" s="36"/>
      <c r="F215" s="36"/>
      <c r="G215" s="37" t="n">
        <v>0</v>
      </c>
      <c r="H215" s="49" t="str">
        <f aca="false">IF(G215=0,"",G215*0.1)</f>
        <v/>
      </c>
      <c r="I215" s="35" t="str">
        <f aca="false">IF(G215=0,"",G215*1.1)</f>
        <v/>
      </c>
      <c r="J215" s="36"/>
      <c r="K215" s="36"/>
      <c r="L215" s="36"/>
      <c r="M215" s="37" t="n">
        <v>0</v>
      </c>
      <c r="N215" s="36"/>
      <c r="O215" s="5"/>
    </row>
    <row r="216" customFormat="false" ht="15.75" hidden="false" customHeight="true" outlineLevel="0" collapsed="false">
      <c r="B216" s="32"/>
      <c r="C216" s="32"/>
      <c r="D216" s="33"/>
      <c r="E216" s="32"/>
      <c r="F216" s="32"/>
      <c r="G216" s="34" t="n">
        <v>0</v>
      </c>
      <c r="H216" s="48" t="str">
        <f aca="false">IF(G216=0,"",G216*0.1)</f>
        <v/>
      </c>
      <c r="I216" s="35" t="str">
        <f aca="false">IF(G216=0,"",G216*1.1)</f>
        <v/>
      </c>
      <c r="J216" s="32"/>
      <c r="K216" s="32"/>
      <c r="L216" s="32"/>
      <c r="M216" s="34" t="n">
        <v>0</v>
      </c>
      <c r="N216" s="32"/>
      <c r="O216" s="13"/>
    </row>
    <row r="217" customFormat="false" ht="15.75" hidden="false" customHeight="true" outlineLevel="0" collapsed="false">
      <c r="B217" s="36"/>
      <c r="C217" s="36"/>
      <c r="D217" s="4"/>
      <c r="E217" s="36"/>
      <c r="F217" s="36"/>
      <c r="G217" s="37" t="n">
        <v>0</v>
      </c>
      <c r="H217" s="49" t="str">
        <f aca="false">IF(G217=0,"",G217*0.1)</f>
        <v/>
      </c>
      <c r="I217" s="35" t="str">
        <f aca="false">IF(G217=0,"",G217*1.1)</f>
        <v/>
      </c>
      <c r="J217" s="36"/>
      <c r="K217" s="36"/>
      <c r="L217" s="36"/>
      <c r="M217" s="37" t="n">
        <v>0</v>
      </c>
      <c r="N217" s="36"/>
      <c r="O217" s="5"/>
    </row>
    <row r="218" customFormat="false" ht="15.75" hidden="false" customHeight="true" outlineLevel="0" collapsed="false">
      <c r="B218" s="32"/>
      <c r="C218" s="32"/>
      <c r="D218" s="33"/>
      <c r="E218" s="32"/>
      <c r="F218" s="32"/>
      <c r="G218" s="34" t="n">
        <v>0</v>
      </c>
      <c r="H218" s="48" t="str">
        <f aca="false">IF(G218=0,"",G218*0.1)</f>
        <v/>
      </c>
      <c r="I218" s="35" t="str">
        <f aca="false">IF(G218=0,"",G218*1.1)</f>
        <v/>
      </c>
      <c r="J218" s="32"/>
      <c r="K218" s="32"/>
      <c r="L218" s="32"/>
      <c r="M218" s="34" t="n">
        <v>0</v>
      </c>
      <c r="N218" s="32"/>
      <c r="O218" s="13"/>
    </row>
    <row r="219" customFormat="false" ht="15.75" hidden="false" customHeight="true" outlineLevel="0" collapsed="false">
      <c r="B219" s="36"/>
      <c r="C219" s="36"/>
      <c r="D219" s="4"/>
      <c r="E219" s="36"/>
      <c r="F219" s="36"/>
      <c r="G219" s="37" t="n">
        <v>0</v>
      </c>
      <c r="H219" s="49" t="str">
        <f aca="false">IF(G219=0,"",G219*0.1)</f>
        <v/>
      </c>
      <c r="I219" s="35" t="str">
        <f aca="false">IF(G219=0,"",G219*1.1)</f>
        <v/>
      </c>
      <c r="J219" s="36"/>
      <c r="K219" s="36"/>
      <c r="L219" s="36"/>
      <c r="M219" s="37" t="n">
        <v>0</v>
      </c>
      <c r="N219" s="36"/>
      <c r="O219" s="5"/>
    </row>
    <row r="220" customFormat="false" ht="15.75" hidden="false" customHeight="true" outlineLevel="0" collapsed="false">
      <c r="B220" s="32"/>
      <c r="C220" s="32"/>
      <c r="D220" s="33"/>
      <c r="E220" s="32"/>
      <c r="F220" s="32"/>
      <c r="G220" s="34" t="n">
        <v>0</v>
      </c>
      <c r="H220" s="48" t="str">
        <f aca="false">IF(G220=0,"",G220*0.1)</f>
        <v/>
      </c>
      <c r="I220" s="35" t="str">
        <f aca="false">IF(G220=0,"",G220*1.1)</f>
        <v/>
      </c>
      <c r="J220" s="32"/>
      <c r="K220" s="32"/>
      <c r="L220" s="32"/>
      <c r="M220" s="34" t="n">
        <v>0</v>
      </c>
      <c r="N220" s="32"/>
      <c r="O220" s="13"/>
    </row>
    <row r="221" customFormat="false" ht="15.75" hidden="false" customHeight="true" outlineLevel="0" collapsed="false">
      <c r="B221" s="36"/>
      <c r="C221" s="36"/>
      <c r="D221" s="4"/>
      <c r="E221" s="36"/>
      <c r="F221" s="36"/>
      <c r="G221" s="37" t="n">
        <v>0</v>
      </c>
      <c r="H221" s="49" t="str">
        <f aca="false">IF(G221=0,"",G221*0.1)</f>
        <v/>
      </c>
      <c r="I221" s="35" t="str">
        <f aca="false">IF(G221=0,"",G221*1.1)</f>
        <v/>
      </c>
      <c r="J221" s="36"/>
      <c r="K221" s="36"/>
      <c r="L221" s="36"/>
      <c r="M221" s="37" t="n">
        <v>0</v>
      </c>
      <c r="N221" s="36"/>
      <c r="O221" s="5"/>
    </row>
    <row r="222" customFormat="false" ht="15.75" hidden="false" customHeight="true" outlineLevel="0" collapsed="false">
      <c r="B222" s="32"/>
      <c r="C222" s="32"/>
      <c r="D222" s="33"/>
      <c r="E222" s="32"/>
      <c r="F222" s="32"/>
      <c r="G222" s="34" t="n">
        <v>0</v>
      </c>
      <c r="H222" s="48" t="str">
        <f aca="false">IF(G222=0,"",G222*0.1)</f>
        <v/>
      </c>
      <c r="I222" s="35" t="str">
        <f aca="false">IF(G222=0,"",G222*1.1)</f>
        <v/>
      </c>
      <c r="J222" s="32"/>
      <c r="K222" s="32"/>
      <c r="L222" s="32"/>
      <c r="M222" s="34" t="n">
        <v>0</v>
      </c>
      <c r="N222" s="32"/>
      <c r="O222" s="13"/>
    </row>
    <row r="223" customFormat="false" ht="15.75" hidden="false" customHeight="true" outlineLevel="0" collapsed="false">
      <c r="B223" s="36"/>
      <c r="C223" s="36"/>
      <c r="D223" s="4"/>
      <c r="E223" s="36"/>
      <c r="F223" s="36"/>
      <c r="G223" s="37" t="n">
        <v>0</v>
      </c>
      <c r="H223" s="49" t="str">
        <f aca="false">IF(G223=0,"",G223*0.1)</f>
        <v/>
      </c>
      <c r="I223" s="35" t="str">
        <f aca="false">IF(G223=0,"",G223*1.1)</f>
        <v/>
      </c>
      <c r="J223" s="36"/>
      <c r="K223" s="36"/>
      <c r="L223" s="36"/>
      <c r="M223" s="37" t="n">
        <v>0</v>
      </c>
      <c r="N223" s="36"/>
      <c r="O223" s="5"/>
    </row>
    <row r="224" customFormat="false" ht="15.75" hidden="false" customHeight="true" outlineLevel="0" collapsed="false">
      <c r="B224" s="32"/>
      <c r="C224" s="32"/>
      <c r="D224" s="33"/>
      <c r="E224" s="32"/>
      <c r="F224" s="32"/>
      <c r="G224" s="34" t="n">
        <v>0</v>
      </c>
      <c r="H224" s="48" t="str">
        <f aca="false">IF(G224=0,"",G224*0.1)</f>
        <v/>
      </c>
      <c r="I224" s="35" t="str">
        <f aca="false">IF(G224=0,"",G224*1.1)</f>
        <v/>
      </c>
      <c r="J224" s="32"/>
      <c r="K224" s="32"/>
      <c r="L224" s="32"/>
      <c r="M224" s="34" t="n">
        <v>0</v>
      </c>
      <c r="N224" s="32"/>
      <c r="O224" s="13"/>
    </row>
    <row r="225" customFormat="false" ht="15.75" hidden="false" customHeight="true" outlineLevel="0" collapsed="false">
      <c r="B225" s="36"/>
      <c r="C225" s="36"/>
      <c r="D225" s="4"/>
      <c r="E225" s="36"/>
      <c r="F225" s="36"/>
      <c r="G225" s="37" t="n">
        <v>0</v>
      </c>
      <c r="H225" s="49" t="str">
        <f aca="false">IF(G225=0,"",G225*0.1)</f>
        <v/>
      </c>
      <c r="I225" s="35" t="str">
        <f aca="false">IF(G225=0,"",G225*1.1)</f>
        <v/>
      </c>
      <c r="J225" s="36"/>
      <c r="K225" s="36"/>
      <c r="L225" s="36"/>
      <c r="M225" s="37" t="n">
        <v>0</v>
      </c>
      <c r="N225" s="36"/>
      <c r="O225" s="5"/>
    </row>
    <row r="226" customFormat="false" ht="15.75" hidden="false" customHeight="true" outlineLevel="0" collapsed="false">
      <c r="B226" s="32"/>
      <c r="C226" s="32"/>
      <c r="D226" s="33"/>
      <c r="E226" s="32"/>
      <c r="F226" s="32"/>
      <c r="G226" s="34" t="n">
        <v>0</v>
      </c>
      <c r="H226" s="48" t="str">
        <f aca="false">IF(G226=0,"",G226*0.1)</f>
        <v/>
      </c>
      <c r="I226" s="35" t="str">
        <f aca="false">IF(G226=0,"",G226*1.1)</f>
        <v/>
      </c>
      <c r="J226" s="32"/>
      <c r="K226" s="32"/>
      <c r="L226" s="32"/>
      <c r="M226" s="34" t="n">
        <v>0</v>
      </c>
      <c r="N226" s="32"/>
      <c r="O226" s="13"/>
    </row>
    <row r="227" customFormat="false" ht="15.75" hidden="false" customHeight="true" outlineLevel="0" collapsed="false">
      <c r="B227" s="36"/>
      <c r="C227" s="36"/>
      <c r="D227" s="4"/>
      <c r="E227" s="36"/>
      <c r="F227" s="36"/>
      <c r="G227" s="37" t="n">
        <v>0</v>
      </c>
      <c r="H227" s="49" t="str">
        <f aca="false">IF(G227=0,"",G227*0.1)</f>
        <v/>
      </c>
      <c r="I227" s="35" t="str">
        <f aca="false">IF(G227=0,"",G227*1.1)</f>
        <v/>
      </c>
      <c r="J227" s="36"/>
      <c r="K227" s="36"/>
      <c r="L227" s="36"/>
      <c r="M227" s="37" t="n">
        <v>0</v>
      </c>
      <c r="N227" s="36"/>
      <c r="O227" s="5"/>
    </row>
    <row r="228" customFormat="false" ht="15.75" hidden="false" customHeight="true" outlineLevel="0" collapsed="false">
      <c r="B228" s="32"/>
      <c r="C228" s="32"/>
      <c r="D228" s="33"/>
      <c r="E228" s="32"/>
      <c r="F228" s="32"/>
      <c r="G228" s="34" t="n">
        <v>0</v>
      </c>
      <c r="H228" s="48" t="str">
        <f aca="false">IF(G228=0,"",G228*0.1)</f>
        <v/>
      </c>
      <c r="I228" s="35" t="str">
        <f aca="false">IF(G228=0,"",G228*1.1)</f>
        <v/>
      </c>
      <c r="J228" s="32"/>
      <c r="K228" s="32"/>
      <c r="L228" s="32"/>
      <c r="M228" s="34" t="n">
        <v>0</v>
      </c>
      <c r="N228" s="32"/>
      <c r="O228" s="13"/>
    </row>
    <row r="229" customFormat="false" ht="15.75" hidden="false" customHeight="true" outlineLevel="0" collapsed="false">
      <c r="B229" s="36"/>
      <c r="C229" s="36"/>
      <c r="D229" s="4"/>
      <c r="E229" s="36"/>
      <c r="F229" s="36"/>
      <c r="G229" s="37" t="n">
        <v>0</v>
      </c>
      <c r="H229" s="49" t="str">
        <f aca="false">IF(G229=0,"",G229*0.1)</f>
        <v/>
      </c>
      <c r="I229" s="35" t="str">
        <f aca="false">IF(G229=0,"",G229*1.1)</f>
        <v/>
      </c>
      <c r="J229" s="36"/>
      <c r="K229" s="36"/>
      <c r="L229" s="36"/>
      <c r="M229" s="37" t="n">
        <v>0</v>
      </c>
      <c r="N229" s="36"/>
      <c r="O229" s="5"/>
    </row>
    <row r="230" customFormat="false" ht="15.75" hidden="false" customHeight="true" outlineLevel="0" collapsed="false">
      <c r="B230" s="32"/>
      <c r="C230" s="32"/>
      <c r="D230" s="33"/>
      <c r="E230" s="32"/>
      <c r="F230" s="32"/>
      <c r="G230" s="34" t="n">
        <v>0</v>
      </c>
      <c r="H230" s="48" t="str">
        <f aca="false">IF(G230=0,"",G230*0.1)</f>
        <v/>
      </c>
      <c r="I230" s="35" t="str">
        <f aca="false">IF(G230=0,"",G230*1.1)</f>
        <v/>
      </c>
      <c r="J230" s="32"/>
      <c r="K230" s="32"/>
      <c r="L230" s="32"/>
      <c r="M230" s="34" t="n">
        <v>0</v>
      </c>
      <c r="N230" s="32"/>
      <c r="O230" s="13"/>
    </row>
    <row r="231" customFormat="false" ht="15.75" hidden="false" customHeight="true" outlineLevel="0" collapsed="false">
      <c r="B231" s="36"/>
      <c r="C231" s="36"/>
      <c r="D231" s="4"/>
      <c r="E231" s="36"/>
      <c r="F231" s="36"/>
      <c r="G231" s="37" t="n">
        <v>0</v>
      </c>
      <c r="H231" s="49" t="str">
        <f aca="false">IF(G231=0,"",G231*0.1)</f>
        <v/>
      </c>
      <c r="I231" s="35" t="str">
        <f aca="false">IF(G231=0,"",G231*1.1)</f>
        <v/>
      </c>
      <c r="J231" s="36"/>
      <c r="K231" s="36"/>
      <c r="L231" s="36"/>
      <c r="M231" s="37" t="n">
        <v>0</v>
      </c>
      <c r="N231" s="36"/>
      <c r="O231" s="5"/>
    </row>
    <row r="232" customFormat="false" ht="15.75" hidden="false" customHeight="true" outlineLevel="0" collapsed="false">
      <c r="B232" s="32"/>
      <c r="C232" s="32"/>
      <c r="D232" s="33"/>
      <c r="E232" s="32"/>
      <c r="F232" s="32"/>
      <c r="G232" s="34" t="n">
        <v>0</v>
      </c>
      <c r="H232" s="48" t="str">
        <f aca="false">IF(G232=0,"",G232*0.1)</f>
        <v/>
      </c>
      <c r="I232" s="35" t="str">
        <f aca="false">IF(G232=0,"",G232*1.1)</f>
        <v/>
      </c>
      <c r="J232" s="32"/>
      <c r="K232" s="32"/>
      <c r="L232" s="32"/>
      <c r="M232" s="34" t="n">
        <v>0</v>
      </c>
      <c r="N232" s="32"/>
      <c r="O232" s="13"/>
    </row>
    <row r="233" customFormat="false" ht="15.75" hidden="false" customHeight="true" outlineLevel="0" collapsed="false">
      <c r="B233" s="36"/>
      <c r="C233" s="36"/>
      <c r="D233" s="4"/>
      <c r="E233" s="36"/>
      <c r="F233" s="36"/>
      <c r="G233" s="37" t="n">
        <v>0</v>
      </c>
      <c r="H233" s="49" t="str">
        <f aca="false">IF(G233=0,"",G233*0.1)</f>
        <v/>
      </c>
      <c r="I233" s="35" t="str">
        <f aca="false">IF(G233=0,"",G233*1.1)</f>
        <v/>
      </c>
      <c r="J233" s="36"/>
      <c r="K233" s="36"/>
      <c r="L233" s="36"/>
      <c r="M233" s="37" t="n">
        <v>0</v>
      </c>
      <c r="N233" s="36"/>
      <c r="O233" s="5"/>
    </row>
    <row r="234" customFormat="false" ht="15.75" hidden="false" customHeight="true" outlineLevel="0" collapsed="false">
      <c r="B234" s="32"/>
      <c r="C234" s="32"/>
      <c r="D234" s="33"/>
      <c r="E234" s="32"/>
      <c r="F234" s="32"/>
      <c r="G234" s="34" t="n">
        <v>0</v>
      </c>
      <c r="H234" s="48" t="str">
        <f aca="false">IF(G234=0,"",G234*0.1)</f>
        <v/>
      </c>
      <c r="I234" s="35" t="str">
        <f aca="false">IF(G234=0,"",G234*1.1)</f>
        <v/>
      </c>
      <c r="J234" s="32"/>
      <c r="K234" s="32"/>
      <c r="L234" s="32"/>
      <c r="M234" s="34" t="n">
        <v>0</v>
      </c>
      <c r="N234" s="32"/>
      <c r="O234" s="13"/>
    </row>
    <row r="235" customFormat="false" ht="15.75" hidden="false" customHeight="true" outlineLevel="0" collapsed="false">
      <c r="B235" s="36"/>
      <c r="C235" s="36"/>
      <c r="D235" s="4"/>
      <c r="E235" s="36"/>
      <c r="F235" s="36"/>
      <c r="G235" s="37" t="n">
        <v>0</v>
      </c>
      <c r="H235" s="49" t="str">
        <f aca="false">IF(G235=0,"",G235*0.1)</f>
        <v/>
      </c>
      <c r="I235" s="35" t="str">
        <f aca="false">IF(G235=0,"",G235*1.1)</f>
        <v/>
      </c>
      <c r="J235" s="36"/>
      <c r="K235" s="36"/>
      <c r="L235" s="36"/>
      <c r="M235" s="37" t="n">
        <v>0</v>
      </c>
      <c r="N235" s="36"/>
      <c r="O235" s="5"/>
    </row>
    <row r="236" customFormat="false" ht="15.75" hidden="false" customHeight="true" outlineLevel="0" collapsed="false">
      <c r="B236" s="32"/>
      <c r="C236" s="32"/>
      <c r="D236" s="33"/>
      <c r="E236" s="32"/>
      <c r="F236" s="32"/>
      <c r="G236" s="34" t="n">
        <v>0</v>
      </c>
      <c r="H236" s="48" t="str">
        <f aca="false">IF(G236=0,"",G236*0.1)</f>
        <v/>
      </c>
      <c r="I236" s="35" t="str">
        <f aca="false">IF(G236=0,"",G236*1.1)</f>
        <v/>
      </c>
      <c r="J236" s="32"/>
      <c r="K236" s="32"/>
      <c r="L236" s="32"/>
      <c r="M236" s="34" t="n">
        <v>0</v>
      </c>
      <c r="N236" s="32"/>
      <c r="O236" s="13"/>
    </row>
    <row r="237" customFormat="false" ht="15.75" hidden="false" customHeight="true" outlineLevel="0" collapsed="false">
      <c r="B237" s="36"/>
      <c r="C237" s="36"/>
      <c r="D237" s="4"/>
      <c r="E237" s="36"/>
      <c r="F237" s="36"/>
      <c r="G237" s="37" t="n">
        <v>0</v>
      </c>
      <c r="H237" s="49" t="str">
        <f aca="false">IF(G237=0,"",G237*0.1)</f>
        <v/>
      </c>
      <c r="I237" s="35" t="str">
        <f aca="false">IF(G237=0,"",G237*1.1)</f>
        <v/>
      </c>
      <c r="J237" s="36"/>
      <c r="K237" s="36"/>
      <c r="L237" s="36"/>
      <c r="M237" s="37" t="n">
        <v>0</v>
      </c>
      <c r="N237" s="36"/>
      <c r="O237" s="5"/>
    </row>
    <row r="238" customFormat="false" ht="15.75" hidden="false" customHeight="true" outlineLevel="0" collapsed="false">
      <c r="B238" s="32"/>
      <c r="C238" s="32"/>
      <c r="D238" s="33"/>
      <c r="E238" s="32"/>
      <c r="F238" s="32"/>
      <c r="G238" s="34" t="n">
        <v>0</v>
      </c>
      <c r="H238" s="48" t="str">
        <f aca="false">IF(G238=0,"",G238*0.1)</f>
        <v/>
      </c>
      <c r="I238" s="35" t="str">
        <f aca="false">IF(G238=0,"",G238*1.1)</f>
        <v/>
      </c>
      <c r="J238" s="32"/>
      <c r="K238" s="32"/>
      <c r="L238" s="32"/>
      <c r="M238" s="34" t="n">
        <v>0</v>
      </c>
      <c r="N238" s="32"/>
      <c r="O238" s="13"/>
    </row>
    <row r="239" customFormat="false" ht="15.75" hidden="false" customHeight="true" outlineLevel="0" collapsed="false">
      <c r="B239" s="36"/>
      <c r="C239" s="36"/>
      <c r="D239" s="4"/>
      <c r="E239" s="36"/>
      <c r="F239" s="36"/>
      <c r="G239" s="37" t="n">
        <v>0</v>
      </c>
      <c r="H239" s="49" t="str">
        <f aca="false">IF(G239=0,"",G239*0.1)</f>
        <v/>
      </c>
      <c r="I239" s="35" t="str">
        <f aca="false">IF(G239=0,"",G239*1.1)</f>
        <v/>
      </c>
      <c r="J239" s="36"/>
      <c r="K239" s="36"/>
      <c r="L239" s="36"/>
      <c r="M239" s="37" t="n">
        <v>0</v>
      </c>
      <c r="N239" s="36"/>
      <c r="O239" s="5"/>
    </row>
    <row r="240" customFormat="false" ht="15.75" hidden="false" customHeight="true" outlineLevel="0" collapsed="false">
      <c r="B240" s="32"/>
      <c r="C240" s="32"/>
      <c r="D240" s="33"/>
      <c r="E240" s="32"/>
      <c r="F240" s="32"/>
      <c r="G240" s="34" t="n">
        <v>0</v>
      </c>
      <c r="H240" s="48" t="str">
        <f aca="false">IF(G240=0,"",G240*0.1)</f>
        <v/>
      </c>
      <c r="I240" s="35" t="str">
        <f aca="false">IF(G240=0,"",G240*1.1)</f>
        <v/>
      </c>
      <c r="J240" s="32"/>
      <c r="K240" s="32"/>
      <c r="L240" s="32"/>
      <c r="M240" s="34" t="n">
        <v>0</v>
      </c>
      <c r="N240" s="32"/>
      <c r="O240" s="13"/>
    </row>
    <row r="241" customFormat="false" ht="15.75" hidden="false" customHeight="true" outlineLevel="0" collapsed="false">
      <c r="B241" s="36"/>
      <c r="C241" s="36"/>
      <c r="D241" s="4"/>
      <c r="E241" s="36"/>
      <c r="F241" s="36"/>
      <c r="G241" s="37" t="n">
        <v>0</v>
      </c>
      <c r="H241" s="49" t="str">
        <f aca="false">IF(G241=0,"",G241*0.1)</f>
        <v/>
      </c>
      <c r="I241" s="35" t="str">
        <f aca="false">IF(G241=0,"",G241*1.1)</f>
        <v/>
      </c>
      <c r="J241" s="36"/>
      <c r="K241" s="36"/>
      <c r="L241" s="36"/>
      <c r="M241" s="37" t="n">
        <v>0</v>
      </c>
      <c r="N241" s="36"/>
      <c r="O241" s="5"/>
    </row>
    <row r="242" customFormat="false" ht="15.75" hidden="false" customHeight="true" outlineLevel="0" collapsed="false">
      <c r="B242" s="32"/>
      <c r="C242" s="32"/>
      <c r="D242" s="33"/>
      <c r="E242" s="32"/>
      <c r="F242" s="32"/>
      <c r="G242" s="34" t="n">
        <v>0</v>
      </c>
      <c r="H242" s="48" t="str">
        <f aca="false">IF(G242=0,"",G242*0.1)</f>
        <v/>
      </c>
      <c r="I242" s="35" t="str">
        <f aca="false">IF(G242=0,"",G242*1.1)</f>
        <v/>
      </c>
      <c r="J242" s="32"/>
      <c r="K242" s="32"/>
      <c r="L242" s="32"/>
      <c r="M242" s="34" t="n">
        <v>0</v>
      </c>
      <c r="N242" s="32"/>
      <c r="O242" s="13"/>
    </row>
    <row r="243" customFormat="false" ht="15.75" hidden="false" customHeight="true" outlineLevel="0" collapsed="false">
      <c r="B243" s="36"/>
      <c r="C243" s="36"/>
      <c r="D243" s="4"/>
      <c r="E243" s="36"/>
      <c r="F243" s="36"/>
      <c r="G243" s="37" t="n">
        <v>0</v>
      </c>
      <c r="H243" s="49" t="str">
        <f aca="false">IF(G243=0,"",G243*0.1)</f>
        <v/>
      </c>
      <c r="I243" s="35" t="str">
        <f aca="false">IF(G243=0,"",G243*1.1)</f>
        <v/>
      </c>
      <c r="J243" s="36"/>
      <c r="K243" s="36"/>
      <c r="L243" s="36"/>
      <c r="M243" s="37" t="n">
        <v>0</v>
      </c>
      <c r="N243" s="36"/>
      <c r="O243" s="5"/>
    </row>
    <row r="244" customFormat="false" ht="15.75" hidden="false" customHeight="true" outlineLevel="0" collapsed="false">
      <c r="B244" s="32"/>
      <c r="C244" s="32"/>
      <c r="D244" s="33"/>
      <c r="E244" s="32"/>
      <c r="F244" s="32"/>
      <c r="G244" s="34" t="n">
        <v>0</v>
      </c>
      <c r="H244" s="48" t="str">
        <f aca="false">IF(G244=0,"",G244*0.1)</f>
        <v/>
      </c>
      <c r="I244" s="35" t="str">
        <f aca="false">IF(G244=0,"",G244*1.1)</f>
        <v/>
      </c>
      <c r="J244" s="32"/>
      <c r="K244" s="32"/>
      <c r="L244" s="32"/>
      <c r="M244" s="34" t="n">
        <v>0</v>
      </c>
      <c r="N244" s="32"/>
      <c r="O244" s="13"/>
    </row>
    <row r="245" customFormat="false" ht="15.75" hidden="false" customHeight="true" outlineLevel="0" collapsed="false">
      <c r="B245" s="36"/>
      <c r="C245" s="36"/>
      <c r="D245" s="4"/>
      <c r="E245" s="36"/>
      <c r="F245" s="36"/>
      <c r="G245" s="37" t="n">
        <v>0</v>
      </c>
      <c r="H245" s="49" t="str">
        <f aca="false">IF(G245=0,"",G245*0.1)</f>
        <v/>
      </c>
      <c r="I245" s="35" t="str">
        <f aca="false">IF(G245=0,"",G245*1.1)</f>
        <v/>
      </c>
      <c r="J245" s="36"/>
      <c r="K245" s="36"/>
      <c r="L245" s="36"/>
      <c r="M245" s="37" t="n">
        <v>0</v>
      </c>
      <c r="N245" s="36"/>
      <c r="O245" s="5"/>
    </row>
    <row r="246" customFormat="false" ht="15.75" hidden="false" customHeight="true" outlineLevel="0" collapsed="false">
      <c r="B246" s="32"/>
      <c r="C246" s="32"/>
      <c r="D246" s="33"/>
      <c r="E246" s="32"/>
      <c r="F246" s="32"/>
      <c r="G246" s="34" t="n">
        <v>0</v>
      </c>
      <c r="H246" s="48" t="str">
        <f aca="false">IF(G246=0,"",G246*0.1)</f>
        <v/>
      </c>
      <c r="I246" s="35" t="str">
        <f aca="false">IF(G246=0,"",G246*1.1)</f>
        <v/>
      </c>
      <c r="J246" s="32"/>
      <c r="K246" s="32"/>
      <c r="L246" s="32"/>
      <c r="M246" s="34" t="n">
        <v>0</v>
      </c>
      <c r="N246" s="32"/>
      <c r="O246" s="13"/>
    </row>
    <row r="247" customFormat="false" ht="15.75" hidden="false" customHeight="true" outlineLevel="0" collapsed="false">
      <c r="B247" s="36"/>
      <c r="C247" s="36"/>
      <c r="D247" s="4"/>
      <c r="E247" s="36"/>
      <c r="F247" s="36"/>
      <c r="G247" s="37" t="n">
        <v>0</v>
      </c>
      <c r="H247" s="49" t="str">
        <f aca="false">IF(G247=0,"",G247*0.1)</f>
        <v/>
      </c>
      <c r="I247" s="35" t="str">
        <f aca="false">IF(G247=0,"",G247*1.1)</f>
        <v/>
      </c>
      <c r="J247" s="36"/>
      <c r="K247" s="36"/>
      <c r="L247" s="36"/>
      <c r="M247" s="37" t="n">
        <v>0</v>
      </c>
      <c r="N247" s="36"/>
      <c r="O247" s="5"/>
    </row>
    <row r="248" customFormat="false" ht="15.75" hidden="false" customHeight="true" outlineLevel="0" collapsed="false">
      <c r="B248" s="32"/>
      <c r="C248" s="32"/>
      <c r="D248" s="33"/>
      <c r="E248" s="32"/>
      <c r="F248" s="32"/>
      <c r="G248" s="34" t="n">
        <v>0</v>
      </c>
      <c r="H248" s="48" t="str">
        <f aca="false">IF(G248=0,"",G248*0.1)</f>
        <v/>
      </c>
      <c r="I248" s="35" t="str">
        <f aca="false">IF(G248=0,"",G248*1.1)</f>
        <v/>
      </c>
      <c r="J248" s="32"/>
      <c r="K248" s="32"/>
      <c r="L248" s="32"/>
      <c r="M248" s="34" t="n">
        <v>0</v>
      </c>
      <c r="N248" s="32"/>
      <c r="O248" s="13"/>
    </row>
    <row r="249" customFormat="false" ht="15.75" hidden="false" customHeight="true" outlineLevel="0" collapsed="false">
      <c r="B249" s="36"/>
      <c r="C249" s="36"/>
      <c r="D249" s="4"/>
      <c r="E249" s="36"/>
      <c r="F249" s="36"/>
      <c r="G249" s="37" t="n">
        <v>0</v>
      </c>
      <c r="H249" s="49" t="str">
        <f aca="false">IF(G249=0,"",G249*0.1)</f>
        <v/>
      </c>
      <c r="I249" s="35" t="str">
        <f aca="false">IF(G249=0,"",G249*1.1)</f>
        <v/>
      </c>
      <c r="J249" s="36"/>
      <c r="K249" s="36"/>
      <c r="L249" s="36"/>
      <c r="M249" s="37" t="n">
        <v>0</v>
      </c>
      <c r="N249" s="36"/>
      <c r="O249" s="5"/>
    </row>
    <row r="250" customFormat="false" ht="15.75" hidden="false" customHeight="true" outlineLevel="0" collapsed="false">
      <c r="B250" s="32"/>
      <c r="C250" s="32"/>
      <c r="D250" s="33"/>
      <c r="E250" s="32"/>
      <c r="F250" s="32"/>
      <c r="G250" s="34" t="n">
        <v>0</v>
      </c>
      <c r="H250" s="48" t="str">
        <f aca="false">IF(G250=0,"",G250*0.1)</f>
        <v/>
      </c>
      <c r="I250" s="35" t="str">
        <f aca="false">IF(G250=0,"",G250*1.1)</f>
        <v/>
      </c>
      <c r="J250" s="32"/>
      <c r="K250" s="32"/>
      <c r="L250" s="32"/>
      <c r="M250" s="34" t="n">
        <v>0</v>
      </c>
      <c r="N250" s="32"/>
      <c r="O250" s="13"/>
    </row>
    <row r="251" customFormat="false" ht="15.75" hidden="false" customHeight="true" outlineLevel="0" collapsed="false">
      <c r="B251" s="36"/>
      <c r="C251" s="36"/>
      <c r="D251" s="4"/>
      <c r="E251" s="36"/>
      <c r="F251" s="36"/>
      <c r="G251" s="37" t="n">
        <v>0</v>
      </c>
      <c r="H251" s="49" t="str">
        <f aca="false">IF(G251=0,"",G251*0.1)</f>
        <v/>
      </c>
      <c r="I251" s="35" t="str">
        <f aca="false">IF(G251=0,"",G251*1.1)</f>
        <v/>
      </c>
      <c r="J251" s="36"/>
      <c r="K251" s="36"/>
      <c r="L251" s="36"/>
      <c r="M251" s="37" t="n">
        <v>0</v>
      </c>
      <c r="N251" s="36"/>
      <c r="O251" s="5"/>
    </row>
    <row r="252" customFormat="false" ht="15.75" hidden="false" customHeight="true" outlineLevel="0" collapsed="false">
      <c r="B252" s="32"/>
      <c r="C252" s="32"/>
      <c r="D252" s="33"/>
      <c r="E252" s="32"/>
      <c r="F252" s="32"/>
      <c r="G252" s="34" t="n">
        <v>0</v>
      </c>
      <c r="H252" s="48" t="str">
        <f aca="false">IF(G252=0,"",G252*0.1)</f>
        <v/>
      </c>
      <c r="I252" s="35" t="str">
        <f aca="false">IF(G252=0,"",G252*1.1)</f>
        <v/>
      </c>
      <c r="J252" s="32"/>
      <c r="K252" s="32"/>
      <c r="L252" s="32"/>
      <c r="M252" s="34" t="n">
        <v>0</v>
      </c>
      <c r="N252" s="32"/>
      <c r="O252" s="13"/>
    </row>
    <row r="253" customFormat="false" ht="15.75" hidden="false" customHeight="true" outlineLevel="0" collapsed="false">
      <c r="B253" s="36"/>
      <c r="C253" s="36"/>
      <c r="D253" s="4"/>
      <c r="E253" s="36"/>
      <c r="F253" s="36"/>
      <c r="G253" s="37" t="n">
        <v>0</v>
      </c>
      <c r="H253" s="49" t="str">
        <f aca="false">IF(G253=0,"",G253*0.1)</f>
        <v/>
      </c>
      <c r="I253" s="35" t="str">
        <f aca="false">IF(G253=0,"",G253*1.1)</f>
        <v/>
      </c>
      <c r="J253" s="36"/>
      <c r="K253" s="36"/>
      <c r="L253" s="36"/>
      <c r="M253" s="37" t="n">
        <v>0</v>
      </c>
      <c r="N253" s="36"/>
      <c r="O253" s="5"/>
    </row>
    <row r="254" customFormat="false" ht="15.75" hidden="false" customHeight="true" outlineLevel="0" collapsed="false">
      <c r="B254" s="32"/>
      <c r="C254" s="32"/>
      <c r="D254" s="33"/>
      <c r="E254" s="32"/>
      <c r="F254" s="32"/>
      <c r="G254" s="34" t="n">
        <v>0</v>
      </c>
      <c r="H254" s="48" t="str">
        <f aca="false">IF(G254=0,"",G254*0.1)</f>
        <v/>
      </c>
      <c r="I254" s="35" t="str">
        <f aca="false">IF(G254=0,"",G254*1.1)</f>
        <v/>
      </c>
      <c r="J254" s="32"/>
      <c r="K254" s="32"/>
      <c r="L254" s="32"/>
      <c r="M254" s="34" t="n">
        <v>0</v>
      </c>
      <c r="N254" s="32"/>
      <c r="O254" s="13"/>
    </row>
    <row r="255" customFormat="false" ht="15.75" hidden="false" customHeight="true" outlineLevel="0" collapsed="false">
      <c r="B255" s="36"/>
      <c r="C255" s="36"/>
      <c r="D255" s="4"/>
      <c r="E255" s="36"/>
      <c r="F255" s="36"/>
      <c r="G255" s="37" t="n">
        <v>0</v>
      </c>
      <c r="H255" s="49" t="str">
        <f aca="false">IF(G255=0,"",G255*0.1)</f>
        <v/>
      </c>
      <c r="I255" s="35" t="str">
        <f aca="false">IF(G255=0,"",G255*1.1)</f>
        <v/>
      </c>
      <c r="J255" s="36"/>
      <c r="K255" s="36"/>
      <c r="L255" s="36"/>
      <c r="M255" s="37" t="n">
        <v>0</v>
      </c>
      <c r="N255" s="36"/>
      <c r="O255" s="5"/>
    </row>
    <row r="256" customFormat="false" ht="15.75" hidden="false" customHeight="true" outlineLevel="0" collapsed="false">
      <c r="B256" s="32"/>
      <c r="C256" s="32"/>
      <c r="D256" s="33"/>
      <c r="E256" s="32"/>
      <c r="F256" s="32"/>
      <c r="G256" s="34" t="n">
        <v>0</v>
      </c>
      <c r="H256" s="48" t="str">
        <f aca="false">IF(G256=0,"",G256*0.1)</f>
        <v/>
      </c>
      <c r="I256" s="35" t="str">
        <f aca="false">IF(G256=0,"",G256*1.1)</f>
        <v/>
      </c>
      <c r="J256" s="32"/>
      <c r="K256" s="32"/>
      <c r="L256" s="32"/>
      <c r="M256" s="34" t="n">
        <v>0</v>
      </c>
      <c r="N256" s="32"/>
      <c r="O256" s="13"/>
    </row>
    <row r="257" customFormat="false" ht="15.75" hidden="false" customHeight="true" outlineLevel="0" collapsed="false">
      <c r="B257" s="36"/>
      <c r="C257" s="36"/>
      <c r="D257" s="4"/>
      <c r="E257" s="36"/>
      <c r="F257" s="36"/>
      <c r="G257" s="37" t="n">
        <v>0</v>
      </c>
      <c r="H257" s="49" t="str">
        <f aca="false">IF(G257=0,"",G257*0.1)</f>
        <v/>
      </c>
      <c r="I257" s="35" t="str">
        <f aca="false">IF(G257=0,"",G257*1.1)</f>
        <v/>
      </c>
      <c r="J257" s="36"/>
      <c r="K257" s="36"/>
      <c r="L257" s="36"/>
      <c r="M257" s="37" t="n">
        <v>0</v>
      </c>
      <c r="N257" s="36"/>
      <c r="O257" s="5"/>
    </row>
    <row r="258" customFormat="false" ht="15.75" hidden="false" customHeight="true" outlineLevel="0" collapsed="false">
      <c r="B258" s="32"/>
      <c r="C258" s="32"/>
      <c r="D258" s="33"/>
      <c r="E258" s="32"/>
      <c r="F258" s="32"/>
      <c r="G258" s="34" t="n">
        <v>0</v>
      </c>
      <c r="H258" s="48" t="str">
        <f aca="false">IF(G258=0,"",G258*0.1)</f>
        <v/>
      </c>
      <c r="I258" s="35" t="str">
        <f aca="false">IF(G258=0,"",G258*1.1)</f>
        <v/>
      </c>
      <c r="J258" s="32"/>
      <c r="K258" s="32"/>
      <c r="L258" s="32"/>
      <c r="M258" s="34" t="n">
        <v>0</v>
      </c>
      <c r="N258" s="32"/>
      <c r="O258" s="13"/>
    </row>
    <row r="259" customFormat="false" ht="15.75" hidden="false" customHeight="true" outlineLevel="0" collapsed="false">
      <c r="B259" s="36"/>
      <c r="C259" s="36"/>
      <c r="D259" s="4"/>
      <c r="E259" s="36"/>
      <c r="F259" s="36"/>
      <c r="G259" s="37" t="n">
        <v>0</v>
      </c>
      <c r="H259" s="49" t="str">
        <f aca="false">IF(G259=0,"",G259*0.1)</f>
        <v/>
      </c>
      <c r="I259" s="35" t="str">
        <f aca="false">IF(G259=0,"",G259*1.1)</f>
        <v/>
      </c>
      <c r="J259" s="36"/>
      <c r="K259" s="36"/>
      <c r="L259" s="36"/>
      <c r="M259" s="37" t="n">
        <v>0</v>
      </c>
      <c r="N259" s="36"/>
      <c r="O259" s="5"/>
    </row>
    <row r="260" customFormat="false" ht="15.75" hidden="false" customHeight="true" outlineLevel="0" collapsed="false">
      <c r="B260" s="32"/>
      <c r="C260" s="32"/>
      <c r="D260" s="33"/>
      <c r="E260" s="32"/>
      <c r="F260" s="32"/>
      <c r="G260" s="34" t="n">
        <v>0</v>
      </c>
      <c r="H260" s="48" t="str">
        <f aca="false">IF(G260=0,"",G260*0.1)</f>
        <v/>
      </c>
      <c r="I260" s="35" t="str">
        <f aca="false">IF(G260=0,"",G260*1.1)</f>
        <v/>
      </c>
      <c r="J260" s="32"/>
      <c r="K260" s="32"/>
      <c r="L260" s="32"/>
      <c r="M260" s="34" t="n">
        <v>0</v>
      </c>
      <c r="N260" s="32"/>
      <c r="O260" s="13"/>
    </row>
    <row r="261" customFormat="false" ht="15.75" hidden="false" customHeight="true" outlineLevel="0" collapsed="false">
      <c r="B261" s="36"/>
      <c r="C261" s="36"/>
      <c r="D261" s="4"/>
      <c r="E261" s="36"/>
      <c r="F261" s="36"/>
      <c r="G261" s="37" t="n">
        <v>0</v>
      </c>
      <c r="H261" s="49" t="str">
        <f aca="false">IF(G261=0,"",G261*0.1)</f>
        <v/>
      </c>
      <c r="I261" s="35" t="str">
        <f aca="false">IF(G261=0,"",G261*1.1)</f>
        <v/>
      </c>
      <c r="J261" s="36"/>
      <c r="K261" s="36"/>
      <c r="L261" s="36"/>
      <c r="M261" s="37" t="n">
        <v>0</v>
      </c>
      <c r="N261" s="36"/>
      <c r="O261" s="5"/>
    </row>
    <row r="262" customFormat="false" ht="15.75" hidden="false" customHeight="true" outlineLevel="0" collapsed="false">
      <c r="B262" s="32"/>
      <c r="C262" s="32"/>
      <c r="D262" s="33"/>
      <c r="E262" s="32"/>
      <c r="F262" s="32"/>
      <c r="G262" s="34" t="n">
        <v>0</v>
      </c>
      <c r="H262" s="48" t="str">
        <f aca="false">IF(G262=0,"",G262*0.1)</f>
        <v/>
      </c>
      <c r="I262" s="35" t="str">
        <f aca="false">IF(G262=0,"",G262*1.1)</f>
        <v/>
      </c>
      <c r="J262" s="32"/>
      <c r="K262" s="32"/>
      <c r="L262" s="32"/>
      <c r="M262" s="34" t="n">
        <v>0</v>
      </c>
      <c r="N262" s="32"/>
      <c r="O262" s="13"/>
    </row>
    <row r="263" customFormat="false" ht="15.75" hidden="false" customHeight="true" outlineLevel="0" collapsed="false">
      <c r="B263" s="36"/>
      <c r="C263" s="36"/>
      <c r="D263" s="4"/>
      <c r="E263" s="36"/>
      <c r="F263" s="36"/>
      <c r="G263" s="37" t="n">
        <v>0</v>
      </c>
      <c r="H263" s="49" t="str">
        <f aca="false">IF(G263=0,"",G263*0.1)</f>
        <v/>
      </c>
      <c r="I263" s="35" t="str">
        <f aca="false">IF(G263=0,"",G263*1.1)</f>
        <v/>
      </c>
      <c r="J263" s="36"/>
      <c r="K263" s="36"/>
      <c r="L263" s="36"/>
      <c r="M263" s="37" t="n">
        <v>0</v>
      </c>
      <c r="N263" s="36"/>
      <c r="O263" s="5"/>
    </row>
    <row r="264" customFormat="false" ht="15.75" hidden="false" customHeight="true" outlineLevel="0" collapsed="false">
      <c r="B264" s="32"/>
      <c r="C264" s="32"/>
      <c r="D264" s="33"/>
      <c r="E264" s="32"/>
      <c r="F264" s="32"/>
      <c r="G264" s="34" t="n">
        <v>0</v>
      </c>
      <c r="H264" s="48" t="str">
        <f aca="false">IF(G264=0,"",G264*0.1)</f>
        <v/>
      </c>
      <c r="I264" s="35" t="str">
        <f aca="false">IF(G264=0,"",G264*1.1)</f>
        <v/>
      </c>
      <c r="J264" s="32"/>
      <c r="K264" s="32"/>
      <c r="L264" s="32"/>
      <c r="M264" s="34" t="n">
        <v>0</v>
      </c>
      <c r="N264" s="32"/>
      <c r="O264" s="13"/>
    </row>
    <row r="265" customFormat="false" ht="15.75" hidden="false" customHeight="true" outlineLevel="0" collapsed="false">
      <c r="B265" s="36"/>
      <c r="C265" s="36"/>
      <c r="D265" s="4"/>
      <c r="E265" s="36"/>
      <c r="F265" s="36"/>
      <c r="G265" s="37" t="n">
        <v>0</v>
      </c>
      <c r="H265" s="49" t="str">
        <f aca="false">IF(G265=0,"",G265*0.1)</f>
        <v/>
      </c>
      <c r="I265" s="35" t="str">
        <f aca="false">IF(G265=0,"",G265*1.1)</f>
        <v/>
      </c>
      <c r="J265" s="36"/>
      <c r="K265" s="36"/>
      <c r="L265" s="36"/>
      <c r="M265" s="37" t="n">
        <v>0</v>
      </c>
      <c r="N265" s="36"/>
      <c r="O265" s="5"/>
    </row>
    <row r="266" customFormat="false" ht="15.75" hidden="false" customHeight="true" outlineLevel="0" collapsed="false">
      <c r="B266" s="32"/>
      <c r="C266" s="32"/>
      <c r="D266" s="33"/>
      <c r="E266" s="32"/>
      <c r="F266" s="32"/>
      <c r="G266" s="34" t="n">
        <v>0</v>
      </c>
      <c r="H266" s="48" t="str">
        <f aca="false">IF(G266=0,"",G266*0.1)</f>
        <v/>
      </c>
      <c r="I266" s="35" t="str">
        <f aca="false">IF(G266=0,"",G266*1.1)</f>
        <v/>
      </c>
      <c r="J266" s="32"/>
      <c r="K266" s="32"/>
      <c r="L266" s="32"/>
      <c r="M266" s="34" t="n">
        <v>0</v>
      </c>
      <c r="N266" s="32"/>
      <c r="O266" s="13"/>
    </row>
    <row r="267" customFormat="false" ht="15.75" hidden="false" customHeight="true" outlineLevel="0" collapsed="false">
      <c r="B267" s="36"/>
      <c r="C267" s="36"/>
      <c r="D267" s="4"/>
      <c r="E267" s="36"/>
      <c r="F267" s="36"/>
      <c r="G267" s="37" t="n">
        <v>0</v>
      </c>
      <c r="H267" s="49" t="str">
        <f aca="false">IF(G267=0,"",G267*0.1)</f>
        <v/>
      </c>
      <c r="I267" s="35" t="str">
        <f aca="false">IF(G267=0,"",G267*1.1)</f>
        <v/>
      </c>
      <c r="J267" s="36"/>
      <c r="K267" s="36"/>
      <c r="L267" s="36"/>
      <c r="M267" s="37" t="n">
        <v>0</v>
      </c>
      <c r="N267" s="36"/>
      <c r="O267" s="5"/>
    </row>
    <row r="268" customFormat="false" ht="15.75" hidden="false" customHeight="true" outlineLevel="0" collapsed="false">
      <c r="B268" s="32"/>
      <c r="C268" s="32"/>
      <c r="D268" s="33"/>
      <c r="E268" s="32"/>
      <c r="F268" s="32"/>
      <c r="G268" s="34" t="n">
        <v>0</v>
      </c>
      <c r="H268" s="48" t="str">
        <f aca="false">IF(G268=0,"",G268*0.1)</f>
        <v/>
      </c>
      <c r="I268" s="35" t="str">
        <f aca="false">IF(G268=0,"",G268*1.1)</f>
        <v/>
      </c>
      <c r="J268" s="32"/>
      <c r="K268" s="32"/>
      <c r="L268" s="32"/>
      <c r="M268" s="34" t="n">
        <v>0</v>
      </c>
      <c r="N268" s="32"/>
      <c r="O268" s="13"/>
    </row>
    <row r="269" customFormat="false" ht="15.75" hidden="false" customHeight="true" outlineLevel="0" collapsed="false">
      <c r="B269" s="36"/>
      <c r="C269" s="36"/>
      <c r="D269" s="4"/>
      <c r="E269" s="36"/>
      <c r="F269" s="36"/>
      <c r="G269" s="37" t="n">
        <v>0</v>
      </c>
      <c r="H269" s="49" t="str">
        <f aca="false">IF(G269=0,"",G269*0.1)</f>
        <v/>
      </c>
      <c r="I269" s="35" t="str">
        <f aca="false">IF(G269=0,"",G269*1.1)</f>
        <v/>
      </c>
      <c r="J269" s="36"/>
      <c r="K269" s="36"/>
      <c r="L269" s="36"/>
      <c r="M269" s="37" t="n">
        <v>0</v>
      </c>
      <c r="N269" s="36"/>
      <c r="O269" s="5"/>
    </row>
    <row r="270" customFormat="false" ht="15.75" hidden="false" customHeight="true" outlineLevel="0" collapsed="false">
      <c r="B270" s="32"/>
      <c r="C270" s="32"/>
      <c r="D270" s="33"/>
      <c r="E270" s="32"/>
      <c r="F270" s="32"/>
      <c r="G270" s="34" t="n">
        <v>0</v>
      </c>
      <c r="H270" s="48" t="str">
        <f aca="false">IF(G270=0,"",G270*0.1)</f>
        <v/>
      </c>
      <c r="I270" s="35" t="str">
        <f aca="false">IF(G270=0,"",G270*1.1)</f>
        <v/>
      </c>
      <c r="J270" s="32"/>
      <c r="K270" s="32"/>
      <c r="L270" s="32"/>
      <c r="M270" s="34" t="n">
        <v>0</v>
      </c>
      <c r="N270" s="32"/>
      <c r="O270" s="13"/>
    </row>
    <row r="271" customFormat="false" ht="15.75" hidden="false" customHeight="true" outlineLevel="0" collapsed="false">
      <c r="B271" s="36"/>
      <c r="C271" s="36"/>
      <c r="D271" s="4"/>
      <c r="E271" s="36"/>
      <c r="F271" s="36"/>
      <c r="G271" s="37" t="n">
        <v>0</v>
      </c>
      <c r="H271" s="49" t="str">
        <f aca="false">IF(G271=0,"",G271*0.1)</f>
        <v/>
      </c>
      <c r="I271" s="35" t="str">
        <f aca="false">IF(G271=0,"",G271*1.1)</f>
        <v/>
      </c>
      <c r="J271" s="36"/>
      <c r="K271" s="36"/>
      <c r="L271" s="36"/>
      <c r="M271" s="37" t="n">
        <v>0</v>
      </c>
      <c r="N271" s="36"/>
      <c r="O271" s="5"/>
    </row>
    <row r="272" customFormat="false" ht="15.75" hidden="false" customHeight="true" outlineLevel="0" collapsed="false">
      <c r="B272" s="32"/>
      <c r="C272" s="32"/>
      <c r="D272" s="33"/>
      <c r="E272" s="32"/>
      <c r="F272" s="32"/>
      <c r="G272" s="34" t="n">
        <v>0</v>
      </c>
      <c r="H272" s="48" t="str">
        <f aca="false">IF(G272=0,"",G272*0.1)</f>
        <v/>
      </c>
      <c r="I272" s="35" t="str">
        <f aca="false">IF(G272=0,"",G272*1.1)</f>
        <v/>
      </c>
      <c r="J272" s="32"/>
      <c r="K272" s="32"/>
      <c r="L272" s="32"/>
      <c r="M272" s="34" t="n">
        <v>0</v>
      </c>
      <c r="N272" s="32"/>
      <c r="O272" s="13"/>
    </row>
    <row r="273" customFormat="false" ht="15.75" hidden="false" customHeight="true" outlineLevel="0" collapsed="false">
      <c r="B273" s="36"/>
      <c r="C273" s="36"/>
      <c r="D273" s="4"/>
      <c r="E273" s="36"/>
      <c r="F273" s="36"/>
      <c r="G273" s="37" t="n">
        <v>0</v>
      </c>
      <c r="H273" s="49" t="str">
        <f aca="false">IF(G273=0,"",G273*0.1)</f>
        <v/>
      </c>
      <c r="I273" s="35" t="str">
        <f aca="false">IF(G273=0,"",G273*1.1)</f>
        <v/>
      </c>
      <c r="J273" s="36"/>
      <c r="K273" s="36"/>
      <c r="L273" s="36"/>
      <c r="M273" s="37" t="n">
        <v>0</v>
      </c>
      <c r="N273" s="36"/>
      <c r="O273" s="5"/>
    </row>
    <row r="274" customFormat="false" ht="15.75" hidden="false" customHeight="true" outlineLevel="0" collapsed="false">
      <c r="B274" s="32"/>
      <c r="C274" s="32"/>
      <c r="D274" s="33"/>
      <c r="E274" s="32"/>
      <c r="F274" s="32"/>
      <c r="G274" s="34" t="n">
        <v>0</v>
      </c>
      <c r="H274" s="48" t="str">
        <f aca="false">IF(G274=0,"",G274*0.1)</f>
        <v/>
      </c>
      <c r="I274" s="35" t="str">
        <f aca="false">IF(G274=0,"",G274*1.1)</f>
        <v/>
      </c>
      <c r="J274" s="32"/>
      <c r="K274" s="32"/>
      <c r="L274" s="32"/>
      <c r="M274" s="34" t="n">
        <v>0</v>
      </c>
      <c r="N274" s="32"/>
      <c r="O274" s="13"/>
    </row>
    <row r="275" customFormat="false" ht="15.75" hidden="false" customHeight="true" outlineLevel="0" collapsed="false">
      <c r="B275" s="36"/>
      <c r="C275" s="36"/>
      <c r="D275" s="4"/>
      <c r="E275" s="36"/>
      <c r="F275" s="36"/>
      <c r="G275" s="37" t="n">
        <v>0</v>
      </c>
      <c r="H275" s="49" t="str">
        <f aca="false">IF(G275=0,"",G275*0.1)</f>
        <v/>
      </c>
      <c r="I275" s="35" t="str">
        <f aca="false">IF(G275=0,"",G275*1.1)</f>
        <v/>
      </c>
      <c r="J275" s="36"/>
      <c r="K275" s="36"/>
      <c r="L275" s="36"/>
      <c r="M275" s="37" t="n">
        <v>0</v>
      </c>
      <c r="N275" s="36"/>
      <c r="O275" s="5"/>
    </row>
    <row r="276" customFormat="false" ht="15.75" hidden="false" customHeight="true" outlineLevel="0" collapsed="false">
      <c r="B276" s="32"/>
      <c r="C276" s="32"/>
      <c r="D276" s="33"/>
      <c r="E276" s="32"/>
      <c r="F276" s="32"/>
      <c r="G276" s="34" t="n">
        <v>0</v>
      </c>
      <c r="H276" s="48" t="str">
        <f aca="false">IF(G276=0,"",G276*0.1)</f>
        <v/>
      </c>
      <c r="I276" s="35" t="str">
        <f aca="false">IF(G276=0,"",G276*1.1)</f>
        <v/>
      </c>
      <c r="J276" s="32"/>
      <c r="K276" s="32"/>
      <c r="L276" s="32"/>
      <c r="M276" s="34" t="n">
        <v>0</v>
      </c>
      <c r="N276" s="32"/>
      <c r="O276" s="13"/>
    </row>
    <row r="277" customFormat="false" ht="15.75" hidden="false" customHeight="true" outlineLevel="0" collapsed="false">
      <c r="B277" s="36"/>
      <c r="C277" s="36"/>
      <c r="D277" s="4"/>
      <c r="E277" s="36"/>
      <c r="F277" s="36"/>
      <c r="G277" s="37" t="n">
        <v>0</v>
      </c>
      <c r="H277" s="49" t="str">
        <f aca="false">IF(G277=0,"",G277*0.1)</f>
        <v/>
      </c>
      <c r="I277" s="35" t="str">
        <f aca="false">IF(G277=0,"",G277*1.1)</f>
        <v/>
      </c>
      <c r="J277" s="36"/>
      <c r="K277" s="36"/>
      <c r="L277" s="36"/>
      <c r="M277" s="37" t="n">
        <v>0</v>
      </c>
      <c r="N277" s="36"/>
      <c r="O277" s="5"/>
    </row>
    <row r="278" customFormat="false" ht="15.75" hidden="false" customHeight="true" outlineLevel="0" collapsed="false">
      <c r="B278" s="32"/>
      <c r="C278" s="32"/>
      <c r="D278" s="33"/>
      <c r="E278" s="32"/>
      <c r="F278" s="32"/>
      <c r="G278" s="34" t="n">
        <v>0</v>
      </c>
      <c r="H278" s="48" t="str">
        <f aca="false">IF(G278=0,"",G278*0.1)</f>
        <v/>
      </c>
      <c r="I278" s="35" t="str">
        <f aca="false">IF(G278=0,"",G278*1.1)</f>
        <v/>
      </c>
      <c r="J278" s="32"/>
      <c r="K278" s="32"/>
      <c r="L278" s="32"/>
      <c r="M278" s="34" t="n">
        <v>0</v>
      </c>
      <c r="N278" s="32"/>
      <c r="O278" s="13"/>
    </row>
    <row r="279" customFormat="false" ht="15.75" hidden="false" customHeight="true" outlineLevel="0" collapsed="false">
      <c r="B279" s="36"/>
      <c r="C279" s="36"/>
      <c r="D279" s="4"/>
      <c r="E279" s="36"/>
      <c r="F279" s="36"/>
      <c r="G279" s="37" t="n">
        <v>0</v>
      </c>
      <c r="H279" s="49" t="str">
        <f aca="false">IF(G279=0,"",G279*0.1)</f>
        <v/>
      </c>
      <c r="I279" s="35" t="str">
        <f aca="false">IF(G279=0,"",G279*1.1)</f>
        <v/>
      </c>
      <c r="J279" s="36"/>
      <c r="K279" s="36"/>
      <c r="L279" s="36"/>
      <c r="M279" s="37" t="n">
        <v>0</v>
      </c>
      <c r="N279" s="36"/>
      <c r="O279" s="5"/>
    </row>
    <row r="280" customFormat="false" ht="15.75" hidden="false" customHeight="true" outlineLevel="0" collapsed="false">
      <c r="B280" s="32"/>
      <c r="C280" s="32"/>
      <c r="D280" s="33"/>
      <c r="E280" s="32"/>
      <c r="F280" s="32"/>
      <c r="G280" s="34" t="n">
        <v>0</v>
      </c>
      <c r="H280" s="48" t="str">
        <f aca="false">IF(G280=0,"",G280*0.1)</f>
        <v/>
      </c>
      <c r="I280" s="35" t="str">
        <f aca="false">IF(G280=0,"",G280*1.1)</f>
        <v/>
      </c>
      <c r="J280" s="32"/>
      <c r="K280" s="32"/>
      <c r="L280" s="32"/>
      <c r="M280" s="34" t="n">
        <v>0</v>
      </c>
      <c r="N280" s="32"/>
      <c r="O280" s="13"/>
    </row>
    <row r="281" customFormat="false" ht="15.75" hidden="false" customHeight="true" outlineLevel="0" collapsed="false">
      <c r="B281" s="36"/>
      <c r="C281" s="36"/>
      <c r="D281" s="4"/>
      <c r="E281" s="36"/>
      <c r="F281" s="36"/>
      <c r="G281" s="37" t="n">
        <v>0</v>
      </c>
      <c r="H281" s="49" t="str">
        <f aca="false">IF(G281=0,"",G281*0.1)</f>
        <v/>
      </c>
      <c r="I281" s="35" t="str">
        <f aca="false">IF(G281=0,"",G281*1.1)</f>
        <v/>
      </c>
      <c r="J281" s="36"/>
      <c r="K281" s="36"/>
      <c r="L281" s="36"/>
      <c r="M281" s="37" t="n">
        <v>0</v>
      </c>
      <c r="N281" s="36"/>
      <c r="O281" s="5"/>
    </row>
    <row r="282" customFormat="false" ht="15.75" hidden="false" customHeight="true" outlineLevel="0" collapsed="false">
      <c r="B282" s="32"/>
      <c r="C282" s="32"/>
      <c r="D282" s="33"/>
      <c r="E282" s="32"/>
      <c r="F282" s="32"/>
      <c r="G282" s="34" t="n">
        <v>0</v>
      </c>
      <c r="H282" s="48" t="str">
        <f aca="false">IF(G282=0,"",G282*0.1)</f>
        <v/>
      </c>
      <c r="I282" s="35" t="str">
        <f aca="false">IF(G282=0,"",G282*1.1)</f>
        <v/>
      </c>
      <c r="J282" s="32"/>
      <c r="K282" s="32"/>
      <c r="L282" s="32"/>
      <c r="M282" s="34" t="n">
        <v>0</v>
      </c>
      <c r="N282" s="32"/>
      <c r="O282" s="13"/>
    </row>
    <row r="283" customFormat="false" ht="15.75" hidden="false" customHeight="true" outlineLevel="0" collapsed="false">
      <c r="B283" s="36"/>
      <c r="C283" s="36"/>
      <c r="D283" s="4"/>
      <c r="E283" s="36"/>
      <c r="F283" s="36"/>
      <c r="G283" s="37" t="n">
        <v>0</v>
      </c>
      <c r="H283" s="49" t="str">
        <f aca="false">IF(G283=0,"",G283*0.1)</f>
        <v/>
      </c>
      <c r="I283" s="35" t="str">
        <f aca="false">IF(G283=0,"",G283*1.1)</f>
        <v/>
      </c>
      <c r="J283" s="36"/>
      <c r="K283" s="36"/>
      <c r="L283" s="36"/>
      <c r="M283" s="37" t="n">
        <v>0</v>
      </c>
      <c r="N283" s="36"/>
      <c r="O283" s="5"/>
    </row>
    <row r="284" customFormat="false" ht="15.75" hidden="false" customHeight="true" outlineLevel="0" collapsed="false">
      <c r="B284" s="32"/>
      <c r="C284" s="32"/>
      <c r="D284" s="33"/>
      <c r="E284" s="32"/>
      <c r="F284" s="32"/>
      <c r="G284" s="34" t="n">
        <v>0</v>
      </c>
      <c r="H284" s="48" t="str">
        <f aca="false">IF(G284=0,"",G284*0.1)</f>
        <v/>
      </c>
      <c r="I284" s="35" t="str">
        <f aca="false">IF(G284=0,"",G284*1.1)</f>
        <v/>
      </c>
      <c r="J284" s="32"/>
      <c r="K284" s="32"/>
      <c r="L284" s="32"/>
      <c r="M284" s="34" t="n">
        <v>0</v>
      </c>
      <c r="N284" s="32"/>
      <c r="O284" s="13"/>
    </row>
    <row r="285" customFormat="false" ht="15.75" hidden="false" customHeight="true" outlineLevel="0" collapsed="false">
      <c r="B285" s="36"/>
      <c r="C285" s="36"/>
      <c r="D285" s="4"/>
      <c r="E285" s="36"/>
      <c r="F285" s="36"/>
      <c r="G285" s="37" t="n">
        <v>0</v>
      </c>
      <c r="H285" s="49" t="str">
        <f aca="false">IF(G285=0,"",G285*0.1)</f>
        <v/>
      </c>
      <c r="I285" s="35" t="str">
        <f aca="false">IF(G285=0,"",G285*1.1)</f>
        <v/>
      </c>
      <c r="J285" s="36"/>
      <c r="K285" s="36"/>
      <c r="L285" s="36"/>
      <c r="M285" s="37" t="n">
        <v>0</v>
      </c>
      <c r="N285" s="36"/>
      <c r="O285" s="5"/>
    </row>
    <row r="286" customFormat="false" ht="15.75" hidden="false" customHeight="true" outlineLevel="0" collapsed="false">
      <c r="B286" s="32"/>
      <c r="C286" s="32"/>
      <c r="D286" s="33"/>
      <c r="E286" s="32"/>
      <c r="F286" s="32"/>
      <c r="G286" s="34" t="n">
        <v>0</v>
      </c>
      <c r="H286" s="48" t="str">
        <f aca="false">IF(G286=0,"",G286*0.1)</f>
        <v/>
      </c>
      <c r="I286" s="35" t="str">
        <f aca="false">IF(G286=0,"",G286*1.1)</f>
        <v/>
      </c>
      <c r="J286" s="32"/>
      <c r="K286" s="32"/>
      <c r="L286" s="32"/>
      <c r="M286" s="34" t="n">
        <v>0</v>
      </c>
      <c r="N286" s="32"/>
      <c r="O286" s="13"/>
    </row>
    <row r="287" customFormat="false" ht="15.75" hidden="false" customHeight="true" outlineLevel="0" collapsed="false">
      <c r="B287" s="36"/>
      <c r="C287" s="36"/>
      <c r="D287" s="4"/>
      <c r="E287" s="36"/>
      <c r="F287" s="36"/>
      <c r="G287" s="37" t="n">
        <v>0</v>
      </c>
      <c r="H287" s="49" t="str">
        <f aca="false">IF(G287=0,"",G287*0.1)</f>
        <v/>
      </c>
      <c r="I287" s="35" t="str">
        <f aca="false">IF(G287=0,"",G287*1.1)</f>
        <v/>
      </c>
      <c r="J287" s="36"/>
      <c r="K287" s="36"/>
      <c r="L287" s="36"/>
      <c r="M287" s="37" t="n">
        <v>0</v>
      </c>
      <c r="N287" s="36"/>
      <c r="O287" s="5"/>
    </row>
    <row r="288" customFormat="false" ht="15.75" hidden="false" customHeight="true" outlineLevel="0" collapsed="false">
      <c r="B288" s="32"/>
      <c r="C288" s="32"/>
      <c r="D288" s="33"/>
      <c r="E288" s="32"/>
      <c r="F288" s="32"/>
      <c r="G288" s="34" t="n">
        <v>0</v>
      </c>
      <c r="H288" s="48" t="str">
        <f aca="false">IF(G288=0,"",G288*0.1)</f>
        <v/>
      </c>
      <c r="I288" s="35" t="str">
        <f aca="false">IF(G288=0,"",G288*1.1)</f>
        <v/>
      </c>
      <c r="J288" s="32"/>
      <c r="K288" s="32"/>
      <c r="L288" s="32"/>
      <c r="M288" s="34" t="n">
        <v>0</v>
      </c>
      <c r="N288" s="32"/>
      <c r="O288" s="13"/>
    </row>
    <row r="289" customFormat="false" ht="15.75" hidden="false" customHeight="true" outlineLevel="0" collapsed="false">
      <c r="B289" s="36"/>
      <c r="C289" s="36"/>
      <c r="D289" s="4"/>
      <c r="E289" s="36"/>
      <c r="F289" s="36"/>
      <c r="G289" s="37" t="n">
        <v>0</v>
      </c>
      <c r="H289" s="49" t="str">
        <f aca="false">IF(G289=0,"",G289*0.1)</f>
        <v/>
      </c>
      <c r="I289" s="35" t="str">
        <f aca="false">IF(G289=0,"",G289*1.1)</f>
        <v/>
      </c>
      <c r="J289" s="36"/>
      <c r="K289" s="36"/>
      <c r="L289" s="36"/>
      <c r="M289" s="37" t="n">
        <v>0</v>
      </c>
      <c r="N289" s="36"/>
      <c r="O289" s="5"/>
    </row>
    <row r="290" customFormat="false" ht="15.75" hidden="false" customHeight="true" outlineLevel="0" collapsed="false">
      <c r="B290" s="32"/>
      <c r="C290" s="32"/>
      <c r="D290" s="33"/>
      <c r="E290" s="32"/>
      <c r="F290" s="32"/>
      <c r="G290" s="34" t="n">
        <v>0</v>
      </c>
      <c r="H290" s="48" t="str">
        <f aca="false">IF(G290=0,"",G290*0.1)</f>
        <v/>
      </c>
      <c r="I290" s="35" t="str">
        <f aca="false">IF(G290=0,"",G290*1.1)</f>
        <v/>
      </c>
      <c r="J290" s="32"/>
      <c r="K290" s="32"/>
      <c r="L290" s="32"/>
      <c r="M290" s="34" t="n">
        <v>0</v>
      </c>
      <c r="N290" s="32"/>
      <c r="O290" s="13"/>
    </row>
    <row r="291" customFormat="false" ht="15.75" hidden="false" customHeight="true" outlineLevel="0" collapsed="false">
      <c r="B291" s="36"/>
      <c r="C291" s="36"/>
      <c r="D291" s="4"/>
      <c r="E291" s="36"/>
      <c r="F291" s="36"/>
      <c r="G291" s="37" t="n">
        <v>0</v>
      </c>
      <c r="H291" s="49" t="str">
        <f aca="false">IF(G291=0,"",G291*0.1)</f>
        <v/>
      </c>
      <c r="I291" s="35" t="str">
        <f aca="false">IF(G291=0,"",G291*1.1)</f>
        <v/>
      </c>
      <c r="J291" s="36"/>
      <c r="K291" s="36"/>
      <c r="L291" s="36"/>
      <c r="M291" s="37" t="n">
        <v>0</v>
      </c>
      <c r="N291" s="36"/>
      <c r="O291" s="5"/>
    </row>
    <row r="292" customFormat="false" ht="15.75" hidden="false" customHeight="true" outlineLevel="0" collapsed="false">
      <c r="B292" s="32"/>
      <c r="C292" s="32"/>
      <c r="D292" s="33"/>
      <c r="E292" s="32"/>
      <c r="F292" s="32"/>
      <c r="G292" s="34" t="n">
        <v>0</v>
      </c>
      <c r="H292" s="48" t="str">
        <f aca="false">IF(G292=0,"",G292*0.1)</f>
        <v/>
      </c>
      <c r="I292" s="35" t="str">
        <f aca="false">IF(G292=0,"",G292*1.1)</f>
        <v/>
      </c>
      <c r="J292" s="32"/>
      <c r="K292" s="32"/>
      <c r="L292" s="32"/>
      <c r="M292" s="34" t="n">
        <v>0</v>
      </c>
      <c r="N292" s="32"/>
      <c r="O292" s="13"/>
    </row>
    <row r="293" customFormat="false" ht="15.75" hidden="false" customHeight="true" outlineLevel="0" collapsed="false">
      <c r="B293" s="36"/>
      <c r="C293" s="36"/>
      <c r="D293" s="4"/>
      <c r="E293" s="36"/>
      <c r="F293" s="36"/>
      <c r="G293" s="37" t="n">
        <v>0</v>
      </c>
      <c r="H293" s="49" t="str">
        <f aca="false">IF(G293=0,"",G293*0.1)</f>
        <v/>
      </c>
      <c r="I293" s="35" t="str">
        <f aca="false">IF(G293=0,"",G293*1.1)</f>
        <v/>
      </c>
      <c r="J293" s="36"/>
      <c r="K293" s="36"/>
      <c r="L293" s="36"/>
      <c r="M293" s="37" t="n">
        <v>0</v>
      </c>
      <c r="N293" s="36"/>
      <c r="O293" s="5"/>
    </row>
    <row r="294" customFormat="false" ht="15.75" hidden="false" customHeight="true" outlineLevel="0" collapsed="false">
      <c r="B294" s="32"/>
      <c r="C294" s="32"/>
      <c r="D294" s="33"/>
      <c r="E294" s="32"/>
      <c r="F294" s="32"/>
      <c r="G294" s="34" t="n">
        <v>0</v>
      </c>
      <c r="H294" s="48" t="str">
        <f aca="false">IF(G294=0,"",G294*0.1)</f>
        <v/>
      </c>
      <c r="I294" s="35" t="str">
        <f aca="false">IF(G294=0,"",G294*1.1)</f>
        <v/>
      </c>
      <c r="J294" s="32"/>
      <c r="K294" s="32"/>
      <c r="L294" s="32"/>
      <c r="M294" s="34" t="n">
        <v>0</v>
      </c>
      <c r="N294" s="32"/>
      <c r="O294" s="13"/>
    </row>
    <row r="295" customFormat="false" ht="15.75" hidden="false" customHeight="true" outlineLevel="0" collapsed="false">
      <c r="B295" s="36"/>
      <c r="C295" s="36"/>
      <c r="D295" s="4"/>
      <c r="E295" s="36"/>
      <c r="F295" s="36"/>
      <c r="G295" s="37" t="n">
        <v>0</v>
      </c>
      <c r="H295" s="49" t="str">
        <f aca="false">IF(G295=0,"",G295*0.1)</f>
        <v/>
      </c>
      <c r="I295" s="35" t="str">
        <f aca="false">IF(G295=0,"",G295*1.1)</f>
        <v/>
      </c>
      <c r="J295" s="36"/>
      <c r="K295" s="36"/>
      <c r="L295" s="36"/>
      <c r="M295" s="37" t="n">
        <v>0</v>
      </c>
      <c r="N295" s="36"/>
      <c r="O295" s="5"/>
    </row>
    <row r="296" customFormat="false" ht="15.75" hidden="false" customHeight="true" outlineLevel="0" collapsed="false">
      <c r="B296" s="32"/>
      <c r="C296" s="32"/>
      <c r="D296" s="33"/>
      <c r="E296" s="32"/>
      <c r="F296" s="32"/>
      <c r="G296" s="34" t="n">
        <v>0</v>
      </c>
      <c r="H296" s="48" t="str">
        <f aca="false">IF(G296=0,"",G296*0.1)</f>
        <v/>
      </c>
      <c r="I296" s="35" t="str">
        <f aca="false">IF(G296=0,"",G296*1.1)</f>
        <v/>
      </c>
      <c r="J296" s="32"/>
      <c r="K296" s="32"/>
      <c r="L296" s="32"/>
      <c r="M296" s="34" t="n">
        <v>0</v>
      </c>
      <c r="N296" s="32"/>
      <c r="O296" s="13"/>
    </row>
    <row r="297" customFormat="false" ht="15.75" hidden="false" customHeight="true" outlineLevel="0" collapsed="false">
      <c r="B297" s="36"/>
      <c r="C297" s="36"/>
      <c r="D297" s="4"/>
      <c r="E297" s="36"/>
      <c r="F297" s="36"/>
      <c r="G297" s="37" t="n">
        <v>0</v>
      </c>
      <c r="H297" s="49" t="str">
        <f aca="false">IF(G297=0,"",G297*0.1)</f>
        <v/>
      </c>
      <c r="I297" s="35" t="str">
        <f aca="false">IF(G297=0,"",G297*1.1)</f>
        <v/>
      </c>
      <c r="J297" s="36"/>
      <c r="K297" s="36"/>
      <c r="L297" s="36"/>
      <c r="M297" s="37" t="n">
        <v>0</v>
      </c>
      <c r="N297" s="36"/>
      <c r="O297" s="5"/>
    </row>
    <row r="298" customFormat="false" ht="15.75" hidden="false" customHeight="true" outlineLevel="0" collapsed="false">
      <c r="B298" s="32"/>
      <c r="C298" s="32"/>
      <c r="D298" s="33"/>
      <c r="E298" s="32"/>
      <c r="F298" s="32"/>
      <c r="G298" s="34" t="n">
        <v>0</v>
      </c>
      <c r="H298" s="48" t="str">
        <f aca="false">IF(G298=0,"",G298*0.1)</f>
        <v/>
      </c>
      <c r="I298" s="35" t="str">
        <f aca="false">IF(G298=0,"",G298*1.1)</f>
        <v/>
      </c>
      <c r="J298" s="32"/>
      <c r="K298" s="32"/>
      <c r="L298" s="32"/>
      <c r="M298" s="34" t="n">
        <v>0</v>
      </c>
      <c r="N298" s="32"/>
      <c r="O298" s="13"/>
    </row>
    <row r="299" customFormat="false" ht="15.75" hidden="false" customHeight="true" outlineLevel="0" collapsed="false">
      <c r="B299" s="36"/>
      <c r="C299" s="36"/>
      <c r="D299" s="4"/>
      <c r="E299" s="36"/>
      <c r="F299" s="36"/>
      <c r="G299" s="37" t="n">
        <v>0</v>
      </c>
      <c r="H299" s="49" t="str">
        <f aca="false">IF(G299=0,"",G299*0.1)</f>
        <v/>
      </c>
      <c r="I299" s="35" t="str">
        <f aca="false">IF(G299=0,"",G299*1.1)</f>
        <v/>
      </c>
      <c r="J299" s="36"/>
      <c r="K299" s="36"/>
      <c r="L299" s="36"/>
      <c r="M299" s="37" t="n">
        <v>0</v>
      </c>
      <c r="N299" s="36"/>
      <c r="O299" s="5"/>
    </row>
    <row r="300" customFormat="false" ht="15.75" hidden="false" customHeight="true" outlineLevel="0" collapsed="false">
      <c r="B300" s="32"/>
      <c r="C300" s="32"/>
      <c r="D300" s="33"/>
      <c r="E300" s="32"/>
      <c r="F300" s="32"/>
      <c r="G300" s="34" t="n">
        <v>0</v>
      </c>
      <c r="H300" s="48" t="str">
        <f aca="false">IF(G300=0,"",G300*0.1)</f>
        <v/>
      </c>
      <c r="I300" s="35" t="str">
        <f aca="false">IF(G300=0,"",G300*1.1)</f>
        <v/>
      </c>
      <c r="J300" s="32"/>
      <c r="K300" s="32"/>
      <c r="L300" s="32"/>
      <c r="M300" s="34" t="n">
        <v>0</v>
      </c>
      <c r="N300" s="32"/>
      <c r="O300" s="13"/>
    </row>
    <row r="301" customFormat="false" ht="15.75" hidden="false" customHeight="true" outlineLevel="0" collapsed="false">
      <c r="B301" s="36"/>
      <c r="C301" s="36"/>
      <c r="D301" s="4"/>
      <c r="E301" s="36"/>
      <c r="F301" s="36"/>
      <c r="G301" s="37" t="n">
        <v>0</v>
      </c>
      <c r="H301" s="49" t="str">
        <f aca="false">IF(G301=0,"",G301*0.1)</f>
        <v/>
      </c>
      <c r="I301" s="35" t="str">
        <f aca="false">IF(G301=0,"",G301*1.1)</f>
        <v/>
      </c>
      <c r="J301" s="36"/>
      <c r="K301" s="36"/>
      <c r="L301" s="36"/>
      <c r="M301" s="37" t="n">
        <v>0</v>
      </c>
      <c r="N301" s="36"/>
      <c r="O301" s="5"/>
    </row>
    <row r="302" customFormat="false" ht="15.75" hidden="false" customHeight="true" outlineLevel="0" collapsed="false">
      <c r="B302" s="32"/>
      <c r="C302" s="32"/>
      <c r="D302" s="33"/>
      <c r="E302" s="32"/>
      <c r="F302" s="32"/>
      <c r="G302" s="34" t="n">
        <v>0</v>
      </c>
      <c r="H302" s="48" t="str">
        <f aca="false">IF(G302=0,"",G302*0.1)</f>
        <v/>
      </c>
      <c r="I302" s="35" t="str">
        <f aca="false">IF(G302=0,"",G302*1.1)</f>
        <v/>
      </c>
      <c r="J302" s="32"/>
      <c r="K302" s="32"/>
      <c r="L302" s="32"/>
      <c r="M302" s="34" t="n">
        <v>0</v>
      </c>
      <c r="N302" s="32"/>
      <c r="O302" s="13"/>
    </row>
    <row r="303" customFormat="false" ht="15.75" hidden="false" customHeight="true" outlineLevel="0" collapsed="false">
      <c r="B303" s="36"/>
      <c r="C303" s="36"/>
      <c r="D303" s="4"/>
      <c r="E303" s="36"/>
      <c r="F303" s="36"/>
      <c r="G303" s="37" t="n">
        <v>0</v>
      </c>
      <c r="H303" s="49" t="str">
        <f aca="false">IF(G303=0,"",G303*0.1)</f>
        <v/>
      </c>
      <c r="I303" s="35" t="str">
        <f aca="false">IF(G303=0,"",G303*1.1)</f>
        <v/>
      </c>
      <c r="J303" s="36"/>
      <c r="K303" s="36"/>
      <c r="L303" s="36"/>
      <c r="M303" s="37" t="n">
        <v>0</v>
      </c>
      <c r="N303" s="36"/>
      <c r="O303" s="5"/>
    </row>
    <row r="304" customFormat="false" ht="15.75" hidden="false" customHeight="true" outlineLevel="0" collapsed="false">
      <c r="B304" s="32"/>
      <c r="C304" s="32"/>
      <c r="D304" s="33"/>
      <c r="E304" s="32"/>
      <c r="F304" s="32"/>
      <c r="G304" s="34" t="n">
        <v>0</v>
      </c>
      <c r="H304" s="48" t="str">
        <f aca="false">IF(G304=0,"",G304*0.1)</f>
        <v/>
      </c>
      <c r="I304" s="35" t="str">
        <f aca="false">IF(G304=0,"",G304*1.1)</f>
        <v/>
      </c>
      <c r="J304" s="32"/>
      <c r="K304" s="32"/>
      <c r="L304" s="32"/>
      <c r="M304" s="34" t="n">
        <v>0</v>
      </c>
      <c r="N304" s="32"/>
      <c r="O304" s="13"/>
    </row>
    <row r="305" customFormat="false" ht="15.75" hidden="false" customHeight="true" outlineLevel="0" collapsed="false">
      <c r="B305" s="36"/>
      <c r="C305" s="36"/>
      <c r="D305" s="4"/>
      <c r="E305" s="36"/>
      <c r="F305" s="36"/>
      <c r="G305" s="37" t="n">
        <v>0</v>
      </c>
      <c r="H305" s="49" t="str">
        <f aca="false">IF(G305=0,"",G305*0.1)</f>
        <v/>
      </c>
      <c r="I305" s="35" t="str">
        <f aca="false">IF(G305=0,"",G305*1.1)</f>
        <v/>
      </c>
      <c r="J305" s="36"/>
      <c r="K305" s="36"/>
      <c r="L305" s="36"/>
      <c r="M305" s="37" t="n">
        <v>0</v>
      </c>
      <c r="N305" s="36"/>
      <c r="O305" s="5"/>
    </row>
    <row r="306" customFormat="false" ht="15.75" hidden="false" customHeight="true" outlineLevel="0" collapsed="false">
      <c r="B306" s="32"/>
      <c r="C306" s="32"/>
      <c r="D306" s="33"/>
      <c r="E306" s="32"/>
      <c r="F306" s="32"/>
      <c r="G306" s="34" t="n">
        <v>0</v>
      </c>
      <c r="H306" s="48" t="str">
        <f aca="false">IF(G306=0,"",G306*0.1)</f>
        <v/>
      </c>
      <c r="I306" s="35" t="str">
        <f aca="false">IF(G306=0,"",G306*1.1)</f>
        <v/>
      </c>
      <c r="J306" s="32"/>
      <c r="K306" s="32"/>
      <c r="L306" s="32"/>
      <c r="M306" s="34" t="n">
        <v>0</v>
      </c>
      <c r="N306" s="32"/>
      <c r="O306" s="13"/>
    </row>
    <row r="307" customFormat="false" ht="15.75" hidden="false" customHeight="true" outlineLevel="0" collapsed="false">
      <c r="B307" s="36"/>
      <c r="C307" s="36"/>
      <c r="D307" s="4"/>
      <c r="E307" s="36"/>
      <c r="F307" s="36"/>
      <c r="G307" s="37" t="n">
        <v>0</v>
      </c>
      <c r="H307" s="49" t="str">
        <f aca="false">IF(G307=0,"",G307*0.1)</f>
        <v/>
      </c>
      <c r="I307" s="35" t="str">
        <f aca="false">IF(G307=0,"",G307*1.1)</f>
        <v/>
      </c>
      <c r="J307" s="36"/>
      <c r="K307" s="36"/>
      <c r="L307" s="36"/>
      <c r="M307" s="37" t="n">
        <v>0</v>
      </c>
      <c r="N307" s="36"/>
      <c r="O307" s="5"/>
    </row>
    <row r="308" customFormat="false" ht="15.75" hidden="false" customHeight="true" outlineLevel="0" collapsed="false">
      <c r="B308" s="32"/>
      <c r="C308" s="32"/>
      <c r="D308" s="33"/>
      <c r="E308" s="32"/>
      <c r="F308" s="32"/>
      <c r="G308" s="34" t="n">
        <v>0</v>
      </c>
      <c r="H308" s="48" t="str">
        <f aca="false">IF(G308=0,"",G308*0.1)</f>
        <v/>
      </c>
      <c r="I308" s="35" t="str">
        <f aca="false">IF(G308=0,"",G308*1.1)</f>
        <v/>
      </c>
      <c r="J308" s="32"/>
      <c r="K308" s="32"/>
      <c r="L308" s="32"/>
      <c r="M308" s="34" t="n">
        <v>0</v>
      </c>
      <c r="N308" s="32"/>
      <c r="O308" s="13"/>
    </row>
    <row r="309" customFormat="false" ht="15.75" hidden="false" customHeight="true" outlineLevel="0" collapsed="false">
      <c r="B309" s="36"/>
      <c r="C309" s="36"/>
      <c r="D309" s="4"/>
      <c r="E309" s="36"/>
      <c r="F309" s="36"/>
      <c r="G309" s="37" t="n">
        <v>0</v>
      </c>
      <c r="H309" s="49" t="str">
        <f aca="false">IF(G309=0,"",G309*0.1)</f>
        <v/>
      </c>
      <c r="I309" s="35" t="str">
        <f aca="false">IF(G309=0,"",G309*1.1)</f>
        <v/>
      </c>
      <c r="J309" s="36"/>
      <c r="K309" s="36"/>
      <c r="L309" s="36"/>
      <c r="M309" s="37" t="n">
        <v>0</v>
      </c>
      <c r="N309" s="36"/>
      <c r="O309" s="5"/>
    </row>
    <row r="310" customFormat="false" ht="15.75" hidden="false" customHeight="true" outlineLevel="0" collapsed="false">
      <c r="B310" s="32"/>
      <c r="C310" s="32"/>
      <c r="D310" s="33"/>
      <c r="E310" s="32"/>
      <c r="F310" s="32"/>
      <c r="G310" s="34" t="n">
        <v>0</v>
      </c>
      <c r="H310" s="48" t="str">
        <f aca="false">IF(G310=0,"",G310*0.1)</f>
        <v/>
      </c>
      <c r="I310" s="35" t="str">
        <f aca="false">IF(G310=0,"",G310*1.1)</f>
        <v/>
      </c>
      <c r="J310" s="32"/>
      <c r="K310" s="32"/>
      <c r="L310" s="32"/>
      <c r="M310" s="34" t="n">
        <v>0</v>
      </c>
      <c r="N310" s="32"/>
      <c r="O310" s="13"/>
    </row>
    <row r="311" customFormat="false" ht="15.75" hidden="false" customHeight="true" outlineLevel="0" collapsed="false">
      <c r="B311" s="36"/>
      <c r="C311" s="36"/>
      <c r="D311" s="4"/>
      <c r="E311" s="36"/>
      <c r="F311" s="36"/>
      <c r="G311" s="37" t="n">
        <v>0</v>
      </c>
      <c r="H311" s="49" t="str">
        <f aca="false">IF(G311=0,"",G311*0.1)</f>
        <v/>
      </c>
      <c r="I311" s="35" t="str">
        <f aca="false">IF(G311=0,"",G311*1.1)</f>
        <v/>
      </c>
      <c r="J311" s="36"/>
      <c r="K311" s="36"/>
      <c r="L311" s="36"/>
      <c r="M311" s="37" t="n">
        <v>0</v>
      </c>
      <c r="N311" s="36"/>
      <c r="O311" s="5"/>
    </row>
    <row r="312" customFormat="false" ht="15.75" hidden="false" customHeight="true" outlineLevel="0" collapsed="false">
      <c r="B312" s="32"/>
      <c r="C312" s="32"/>
      <c r="D312" s="33"/>
      <c r="E312" s="32"/>
      <c r="F312" s="32"/>
      <c r="G312" s="34" t="n">
        <v>0</v>
      </c>
      <c r="H312" s="48" t="str">
        <f aca="false">IF(G312=0,"",G312*0.1)</f>
        <v/>
      </c>
      <c r="I312" s="35" t="str">
        <f aca="false">IF(G312=0,"",G312*1.1)</f>
        <v/>
      </c>
      <c r="J312" s="32"/>
      <c r="K312" s="32"/>
      <c r="L312" s="32"/>
      <c r="M312" s="34" t="n">
        <v>0</v>
      </c>
      <c r="N312" s="32"/>
      <c r="O312" s="13"/>
    </row>
    <row r="313" customFormat="false" ht="15.75" hidden="false" customHeight="true" outlineLevel="0" collapsed="false">
      <c r="B313" s="36"/>
      <c r="C313" s="36"/>
      <c r="D313" s="4"/>
      <c r="E313" s="36"/>
      <c r="F313" s="36"/>
      <c r="G313" s="37" t="n">
        <v>0</v>
      </c>
      <c r="H313" s="49" t="str">
        <f aca="false">IF(G313=0,"",G313*0.1)</f>
        <v/>
      </c>
      <c r="I313" s="35" t="str">
        <f aca="false">IF(G313=0,"",G313*1.1)</f>
        <v/>
      </c>
      <c r="J313" s="36"/>
      <c r="K313" s="36"/>
      <c r="L313" s="36"/>
      <c r="M313" s="37" t="n">
        <v>0</v>
      </c>
      <c r="N313" s="36"/>
      <c r="O313" s="5"/>
    </row>
    <row r="314" customFormat="false" ht="15.75" hidden="false" customHeight="true" outlineLevel="0" collapsed="false">
      <c r="B314" s="32"/>
      <c r="C314" s="32"/>
      <c r="D314" s="33"/>
      <c r="E314" s="32"/>
      <c r="F314" s="32"/>
      <c r="G314" s="34" t="n">
        <v>0</v>
      </c>
      <c r="H314" s="48" t="str">
        <f aca="false">IF(G314=0,"",G314*0.1)</f>
        <v/>
      </c>
      <c r="I314" s="35" t="str">
        <f aca="false">IF(G314=0,"",G314*1.1)</f>
        <v/>
      </c>
      <c r="J314" s="32"/>
      <c r="K314" s="32"/>
      <c r="L314" s="32"/>
      <c r="M314" s="34" t="n">
        <v>0</v>
      </c>
      <c r="N314" s="32"/>
      <c r="O314" s="13"/>
    </row>
    <row r="315" customFormat="false" ht="15.75" hidden="false" customHeight="true" outlineLevel="0" collapsed="false">
      <c r="B315" s="36"/>
      <c r="C315" s="36"/>
      <c r="D315" s="4"/>
      <c r="E315" s="36"/>
      <c r="F315" s="36"/>
      <c r="G315" s="37" t="n">
        <v>0</v>
      </c>
      <c r="H315" s="49" t="str">
        <f aca="false">IF(G315=0,"",G315*0.1)</f>
        <v/>
      </c>
      <c r="I315" s="35" t="str">
        <f aca="false">IF(G315=0,"",G315*1.1)</f>
        <v/>
      </c>
      <c r="J315" s="36"/>
      <c r="K315" s="36"/>
      <c r="L315" s="36"/>
      <c r="M315" s="37" t="n">
        <v>0</v>
      </c>
      <c r="N315" s="36"/>
      <c r="O315" s="5"/>
    </row>
    <row r="316" customFormat="false" ht="15.75" hidden="false" customHeight="true" outlineLevel="0" collapsed="false">
      <c r="B316" s="32"/>
      <c r="C316" s="32"/>
      <c r="D316" s="33"/>
      <c r="E316" s="32"/>
      <c r="F316" s="32"/>
      <c r="G316" s="34" t="n">
        <v>0</v>
      </c>
      <c r="H316" s="48" t="str">
        <f aca="false">IF(G316=0,"",G316*0.1)</f>
        <v/>
      </c>
      <c r="I316" s="35" t="str">
        <f aca="false">IF(G316=0,"",G316*1.1)</f>
        <v/>
      </c>
      <c r="J316" s="32"/>
      <c r="K316" s="32"/>
      <c r="L316" s="32"/>
      <c r="M316" s="34" t="n">
        <v>0</v>
      </c>
      <c r="N316" s="32"/>
      <c r="O316" s="13"/>
    </row>
    <row r="317" customFormat="false" ht="15.75" hidden="false" customHeight="true" outlineLevel="0" collapsed="false">
      <c r="B317" s="36"/>
      <c r="C317" s="36"/>
      <c r="D317" s="4"/>
      <c r="E317" s="36"/>
      <c r="F317" s="36"/>
      <c r="G317" s="37" t="n">
        <v>0</v>
      </c>
      <c r="H317" s="49" t="str">
        <f aca="false">IF(G317=0,"",G317*0.1)</f>
        <v/>
      </c>
      <c r="I317" s="35" t="str">
        <f aca="false">IF(G317=0,"",G317*1.1)</f>
        <v/>
      </c>
      <c r="J317" s="36"/>
      <c r="K317" s="36"/>
      <c r="L317" s="36"/>
      <c r="M317" s="37" t="n">
        <v>0</v>
      </c>
      <c r="N317" s="36"/>
      <c r="O317" s="5"/>
    </row>
    <row r="318" customFormat="false" ht="15.75" hidden="false" customHeight="true" outlineLevel="0" collapsed="false">
      <c r="B318" s="32"/>
      <c r="C318" s="32"/>
      <c r="D318" s="33"/>
      <c r="E318" s="32"/>
      <c r="F318" s="32"/>
      <c r="G318" s="34" t="n">
        <v>0</v>
      </c>
      <c r="H318" s="48" t="str">
        <f aca="false">IF(G318=0,"",G318*0.1)</f>
        <v/>
      </c>
      <c r="I318" s="35" t="str">
        <f aca="false">IF(G318=0,"",G318*1.1)</f>
        <v/>
      </c>
      <c r="J318" s="32"/>
      <c r="K318" s="32"/>
      <c r="L318" s="32"/>
      <c r="M318" s="34" t="n">
        <v>0</v>
      </c>
      <c r="N318" s="32"/>
      <c r="O318" s="13"/>
    </row>
    <row r="319" customFormat="false" ht="15.75" hidden="false" customHeight="true" outlineLevel="0" collapsed="false">
      <c r="B319" s="36"/>
      <c r="C319" s="36"/>
      <c r="D319" s="4"/>
      <c r="E319" s="36"/>
      <c r="F319" s="36"/>
      <c r="G319" s="37" t="n">
        <v>0</v>
      </c>
      <c r="H319" s="49" t="str">
        <f aca="false">IF(G319=0,"",G319*0.1)</f>
        <v/>
      </c>
      <c r="I319" s="35" t="str">
        <f aca="false">IF(G319=0,"",G319*1.1)</f>
        <v/>
      </c>
      <c r="J319" s="36"/>
      <c r="K319" s="36"/>
      <c r="L319" s="36"/>
      <c r="M319" s="37" t="n">
        <v>0</v>
      </c>
      <c r="N319" s="36"/>
      <c r="O319" s="5"/>
    </row>
    <row r="320" customFormat="false" ht="15.75" hidden="false" customHeight="true" outlineLevel="0" collapsed="false">
      <c r="B320" s="32"/>
      <c r="C320" s="32"/>
      <c r="D320" s="33"/>
      <c r="E320" s="32"/>
      <c r="F320" s="32"/>
      <c r="G320" s="34" t="n">
        <v>0</v>
      </c>
      <c r="H320" s="48" t="str">
        <f aca="false">IF(G320=0,"",G320*0.1)</f>
        <v/>
      </c>
      <c r="I320" s="35" t="str">
        <f aca="false">IF(G320=0,"",G320*1.1)</f>
        <v/>
      </c>
      <c r="J320" s="32"/>
      <c r="K320" s="32"/>
      <c r="L320" s="32"/>
      <c r="M320" s="34" t="n">
        <v>0</v>
      </c>
      <c r="N320" s="32"/>
      <c r="O320" s="13"/>
    </row>
    <row r="321" customFormat="false" ht="15.75" hidden="false" customHeight="true" outlineLevel="0" collapsed="false">
      <c r="B321" s="36"/>
      <c r="C321" s="36"/>
      <c r="D321" s="4"/>
      <c r="E321" s="36"/>
      <c r="F321" s="36"/>
      <c r="G321" s="37" t="n">
        <v>0</v>
      </c>
      <c r="H321" s="49" t="str">
        <f aca="false">IF(G321=0,"",G321*0.1)</f>
        <v/>
      </c>
      <c r="I321" s="35" t="str">
        <f aca="false">IF(G321=0,"",G321*1.1)</f>
        <v/>
      </c>
      <c r="J321" s="36"/>
      <c r="K321" s="36"/>
      <c r="L321" s="36"/>
      <c r="M321" s="37" t="n">
        <v>0</v>
      </c>
      <c r="N321" s="36"/>
      <c r="O321" s="5"/>
    </row>
    <row r="322" customFormat="false" ht="15.75" hidden="false" customHeight="true" outlineLevel="0" collapsed="false">
      <c r="B322" s="32"/>
      <c r="C322" s="32"/>
      <c r="D322" s="33"/>
      <c r="E322" s="32"/>
      <c r="F322" s="32"/>
      <c r="G322" s="34" t="n">
        <v>0</v>
      </c>
      <c r="H322" s="48" t="str">
        <f aca="false">IF(G322=0,"",G322*0.1)</f>
        <v/>
      </c>
      <c r="I322" s="35" t="str">
        <f aca="false">IF(G322=0,"",G322*1.1)</f>
        <v/>
      </c>
      <c r="J322" s="32"/>
      <c r="K322" s="32"/>
      <c r="L322" s="32"/>
      <c r="M322" s="34" t="n">
        <v>0</v>
      </c>
      <c r="N322" s="32"/>
      <c r="O322" s="13"/>
    </row>
    <row r="323" customFormat="false" ht="15.75" hidden="false" customHeight="true" outlineLevel="0" collapsed="false">
      <c r="B323" s="36"/>
      <c r="C323" s="36"/>
      <c r="D323" s="4"/>
      <c r="E323" s="36"/>
      <c r="F323" s="36"/>
      <c r="G323" s="37" t="n">
        <v>0</v>
      </c>
      <c r="H323" s="49" t="str">
        <f aca="false">IF(G323=0,"",G323*0.1)</f>
        <v/>
      </c>
      <c r="I323" s="35" t="str">
        <f aca="false">IF(G323=0,"",G323*1.1)</f>
        <v/>
      </c>
      <c r="J323" s="36"/>
      <c r="K323" s="36"/>
      <c r="L323" s="36"/>
      <c r="M323" s="37" t="n">
        <v>0</v>
      </c>
      <c r="N323" s="36"/>
      <c r="O323" s="5"/>
    </row>
    <row r="324" customFormat="false" ht="15.75" hidden="false" customHeight="true" outlineLevel="0" collapsed="false">
      <c r="B324" s="32"/>
      <c r="C324" s="32"/>
      <c r="D324" s="33"/>
      <c r="E324" s="32"/>
      <c r="F324" s="32"/>
      <c r="G324" s="34" t="n">
        <v>0</v>
      </c>
      <c r="H324" s="48" t="str">
        <f aca="false">IF(G324=0,"",G324*0.1)</f>
        <v/>
      </c>
      <c r="I324" s="35" t="str">
        <f aca="false">IF(G324=0,"",G324*1.1)</f>
        <v/>
      </c>
      <c r="J324" s="32"/>
      <c r="K324" s="32"/>
      <c r="L324" s="32"/>
      <c r="M324" s="34" t="n">
        <v>0</v>
      </c>
      <c r="N324" s="32"/>
      <c r="O324" s="13"/>
    </row>
    <row r="325" customFormat="false" ht="15.75" hidden="false" customHeight="true" outlineLevel="0" collapsed="false">
      <c r="B325" s="36"/>
      <c r="C325" s="36"/>
      <c r="D325" s="4"/>
      <c r="E325" s="36"/>
      <c r="F325" s="36"/>
      <c r="G325" s="37" t="n">
        <v>0</v>
      </c>
      <c r="H325" s="49" t="str">
        <f aca="false">IF(G325=0,"",G325*0.1)</f>
        <v/>
      </c>
      <c r="I325" s="35" t="str">
        <f aca="false">IF(G325=0,"",G325*1.1)</f>
        <v/>
      </c>
      <c r="J325" s="36"/>
      <c r="K325" s="36"/>
      <c r="L325" s="36"/>
      <c r="M325" s="37" t="n">
        <v>0</v>
      </c>
      <c r="N325" s="36"/>
      <c r="O325" s="5"/>
    </row>
    <row r="326" customFormat="false" ht="15.75" hidden="false" customHeight="true" outlineLevel="0" collapsed="false">
      <c r="B326" s="32"/>
      <c r="C326" s="32"/>
      <c r="D326" s="33"/>
      <c r="E326" s="32"/>
      <c r="F326" s="32"/>
      <c r="G326" s="34" t="n">
        <v>0</v>
      </c>
      <c r="H326" s="48" t="str">
        <f aca="false">IF(G326=0,"",G326*0.1)</f>
        <v/>
      </c>
      <c r="I326" s="35" t="str">
        <f aca="false">IF(G326=0,"",G326*1.1)</f>
        <v/>
      </c>
      <c r="J326" s="32"/>
      <c r="K326" s="32"/>
      <c r="L326" s="32"/>
      <c r="M326" s="34" t="n">
        <v>0</v>
      </c>
      <c r="N326" s="32"/>
      <c r="O326" s="13"/>
    </row>
    <row r="327" customFormat="false" ht="15.75" hidden="false" customHeight="true" outlineLevel="0" collapsed="false">
      <c r="B327" s="36"/>
      <c r="C327" s="36"/>
      <c r="D327" s="4"/>
      <c r="E327" s="36"/>
      <c r="F327" s="36"/>
      <c r="G327" s="37" t="n">
        <v>0</v>
      </c>
      <c r="H327" s="49" t="str">
        <f aca="false">IF(G327=0,"",G327*0.1)</f>
        <v/>
      </c>
      <c r="I327" s="35" t="str">
        <f aca="false">IF(G327=0,"",G327*1.1)</f>
        <v/>
      </c>
      <c r="J327" s="36"/>
      <c r="K327" s="36"/>
      <c r="L327" s="36"/>
      <c r="M327" s="37" t="n">
        <v>0</v>
      </c>
      <c r="N327" s="36"/>
      <c r="O327" s="5"/>
    </row>
    <row r="328" customFormat="false" ht="15.75" hidden="false" customHeight="true" outlineLevel="0" collapsed="false">
      <c r="B328" s="32"/>
      <c r="C328" s="32"/>
      <c r="D328" s="33"/>
      <c r="E328" s="32"/>
      <c r="F328" s="32"/>
      <c r="G328" s="34" t="n">
        <v>0</v>
      </c>
      <c r="H328" s="48" t="str">
        <f aca="false">IF(G328=0,"",G328*0.1)</f>
        <v/>
      </c>
      <c r="I328" s="35" t="str">
        <f aca="false">IF(G328=0,"",G328*1.1)</f>
        <v/>
      </c>
      <c r="J328" s="32"/>
      <c r="K328" s="32"/>
      <c r="L328" s="32"/>
      <c r="M328" s="34" t="n">
        <v>0</v>
      </c>
      <c r="N328" s="32"/>
      <c r="O328" s="13"/>
    </row>
    <row r="329" customFormat="false" ht="15.75" hidden="false" customHeight="true" outlineLevel="0" collapsed="false">
      <c r="B329" s="36"/>
      <c r="C329" s="36"/>
      <c r="D329" s="4"/>
      <c r="E329" s="36"/>
      <c r="F329" s="36"/>
      <c r="G329" s="37" t="n">
        <v>0</v>
      </c>
      <c r="H329" s="49" t="str">
        <f aca="false">IF(G329=0,"",G329*0.1)</f>
        <v/>
      </c>
      <c r="I329" s="35" t="str">
        <f aca="false">IF(G329=0,"",G329*1.1)</f>
        <v/>
      </c>
      <c r="J329" s="36"/>
      <c r="K329" s="36"/>
      <c r="L329" s="36"/>
      <c r="M329" s="37" t="n">
        <v>0</v>
      </c>
      <c r="N329" s="36"/>
      <c r="O329" s="5"/>
    </row>
    <row r="330" customFormat="false" ht="15.75" hidden="false" customHeight="true" outlineLevel="0" collapsed="false">
      <c r="B330" s="32"/>
      <c r="C330" s="32"/>
      <c r="D330" s="33"/>
      <c r="E330" s="32"/>
      <c r="F330" s="32"/>
      <c r="G330" s="34" t="n">
        <v>0</v>
      </c>
      <c r="H330" s="48" t="str">
        <f aca="false">IF(G330=0,"",G330*0.1)</f>
        <v/>
      </c>
      <c r="I330" s="35" t="str">
        <f aca="false">IF(G330=0,"",G330*1.1)</f>
        <v/>
      </c>
      <c r="J330" s="32"/>
      <c r="K330" s="32"/>
      <c r="L330" s="32"/>
      <c r="M330" s="34" t="n">
        <v>0</v>
      </c>
      <c r="N330" s="32"/>
      <c r="O330" s="13"/>
    </row>
    <row r="331" customFormat="false" ht="15.75" hidden="false" customHeight="true" outlineLevel="0" collapsed="false">
      <c r="B331" s="36"/>
      <c r="C331" s="36"/>
      <c r="D331" s="4"/>
      <c r="E331" s="36"/>
      <c r="F331" s="36"/>
      <c r="G331" s="37" t="n">
        <v>0</v>
      </c>
      <c r="H331" s="49" t="str">
        <f aca="false">IF(G331=0,"",G331*0.1)</f>
        <v/>
      </c>
      <c r="I331" s="35" t="str">
        <f aca="false">IF(G331=0,"",G331*1.1)</f>
        <v/>
      </c>
      <c r="J331" s="36"/>
      <c r="K331" s="36"/>
      <c r="L331" s="36"/>
      <c r="M331" s="37" t="n">
        <v>0</v>
      </c>
      <c r="N331" s="36"/>
      <c r="O331" s="5"/>
    </row>
    <row r="332" customFormat="false" ht="15.75" hidden="false" customHeight="true" outlineLevel="0" collapsed="false">
      <c r="B332" s="32"/>
      <c r="C332" s="32"/>
      <c r="D332" s="33"/>
      <c r="E332" s="32"/>
      <c r="F332" s="32"/>
      <c r="G332" s="34" t="n">
        <v>0</v>
      </c>
      <c r="H332" s="48" t="str">
        <f aca="false">IF(G332=0,"",G332*0.1)</f>
        <v/>
      </c>
      <c r="I332" s="35" t="str">
        <f aca="false">IF(G332=0,"",G332*1.1)</f>
        <v/>
      </c>
      <c r="J332" s="32"/>
      <c r="K332" s="32"/>
      <c r="L332" s="32"/>
      <c r="M332" s="34" t="n">
        <v>0</v>
      </c>
      <c r="N332" s="32"/>
      <c r="O332" s="13"/>
    </row>
    <row r="333" customFormat="false" ht="15.75" hidden="false" customHeight="true" outlineLevel="0" collapsed="false">
      <c r="B333" s="36"/>
      <c r="C333" s="36"/>
      <c r="D333" s="4"/>
      <c r="E333" s="36"/>
      <c r="F333" s="36"/>
      <c r="G333" s="37" t="n">
        <v>0</v>
      </c>
      <c r="H333" s="49" t="str">
        <f aca="false">IF(G333=0,"",G333*0.1)</f>
        <v/>
      </c>
      <c r="I333" s="35" t="str">
        <f aca="false">IF(G333=0,"",G333*1.1)</f>
        <v/>
      </c>
      <c r="J333" s="36"/>
      <c r="K333" s="36"/>
      <c r="L333" s="36"/>
      <c r="M333" s="37" t="n">
        <v>0</v>
      </c>
      <c r="N333" s="36"/>
      <c r="O333" s="5"/>
    </row>
    <row r="334" customFormat="false" ht="15.75" hidden="false" customHeight="true" outlineLevel="0" collapsed="false">
      <c r="B334" s="32"/>
      <c r="C334" s="32"/>
      <c r="D334" s="33"/>
      <c r="E334" s="32"/>
      <c r="F334" s="32"/>
      <c r="G334" s="34" t="n">
        <v>0</v>
      </c>
      <c r="H334" s="48" t="str">
        <f aca="false">IF(G334=0,"",G334*0.1)</f>
        <v/>
      </c>
      <c r="I334" s="35" t="str">
        <f aca="false">IF(G334=0,"",G334*1.1)</f>
        <v/>
      </c>
      <c r="J334" s="32"/>
      <c r="K334" s="32"/>
      <c r="L334" s="32"/>
      <c r="M334" s="34" t="n">
        <v>0</v>
      </c>
      <c r="N334" s="32"/>
      <c r="O334" s="13"/>
    </row>
    <row r="335" customFormat="false" ht="15.75" hidden="false" customHeight="true" outlineLevel="0" collapsed="false">
      <c r="B335" s="36"/>
      <c r="C335" s="36"/>
      <c r="D335" s="4"/>
      <c r="E335" s="36"/>
      <c r="F335" s="36"/>
      <c r="G335" s="37" t="n">
        <v>0</v>
      </c>
      <c r="H335" s="49" t="str">
        <f aca="false">IF(G335=0,"",G335*0.1)</f>
        <v/>
      </c>
      <c r="I335" s="35" t="str">
        <f aca="false">IF(G335=0,"",G335*1.1)</f>
        <v/>
      </c>
      <c r="J335" s="36"/>
      <c r="K335" s="36"/>
      <c r="L335" s="36"/>
      <c r="M335" s="37" t="n">
        <v>0</v>
      </c>
      <c r="N335" s="36"/>
      <c r="O335" s="5"/>
    </row>
    <row r="336" customFormat="false" ht="15.75" hidden="false" customHeight="true" outlineLevel="0" collapsed="false">
      <c r="B336" s="32"/>
      <c r="C336" s="32"/>
      <c r="D336" s="33"/>
      <c r="E336" s="32"/>
      <c r="F336" s="32"/>
      <c r="G336" s="34" t="n">
        <v>0</v>
      </c>
      <c r="H336" s="48" t="str">
        <f aca="false">IF(G336=0,"",G336*0.1)</f>
        <v/>
      </c>
      <c r="I336" s="35" t="str">
        <f aca="false">IF(G336=0,"",G336*1.1)</f>
        <v/>
      </c>
      <c r="J336" s="32"/>
      <c r="K336" s="32"/>
      <c r="L336" s="32"/>
      <c r="M336" s="34" t="n">
        <v>0</v>
      </c>
      <c r="N336" s="32"/>
      <c r="O336" s="13"/>
    </row>
    <row r="337" customFormat="false" ht="15.75" hidden="false" customHeight="true" outlineLevel="0" collapsed="false">
      <c r="B337" s="36"/>
      <c r="C337" s="36"/>
      <c r="D337" s="4"/>
      <c r="E337" s="36"/>
      <c r="F337" s="36"/>
      <c r="G337" s="37" t="n">
        <v>0</v>
      </c>
      <c r="H337" s="49" t="str">
        <f aca="false">IF(G337=0,"",G337*0.1)</f>
        <v/>
      </c>
      <c r="I337" s="35" t="str">
        <f aca="false">IF(G337=0,"",G337*1.1)</f>
        <v/>
      </c>
      <c r="J337" s="36"/>
      <c r="K337" s="36"/>
      <c r="L337" s="36"/>
      <c r="M337" s="37" t="n">
        <v>0</v>
      </c>
      <c r="N337" s="36"/>
      <c r="O337" s="5"/>
    </row>
    <row r="338" customFormat="false" ht="15.75" hidden="false" customHeight="true" outlineLevel="0" collapsed="false">
      <c r="B338" s="32"/>
      <c r="C338" s="32"/>
      <c r="D338" s="33"/>
      <c r="E338" s="32"/>
      <c r="F338" s="32"/>
      <c r="G338" s="34" t="n">
        <v>0</v>
      </c>
      <c r="H338" s="48" t="str">
        <f aca="false">IF(G338=0,"",G338*0.1)</f>
        <v/>
      </c>
      <c r="I338" s="35" t="str">
        <f aca="false">IF(G338=0,"",G338*1.1)</f>
        <v/>
      </c>
      <c r="J338" s="32"/>
      <c r="K338" s="32"/>
      <c r="L338" s="32"/>
      <c r="M338" s="34" t="n">
        <v>0</v>
      </c>
      <c r="N338" s="32"/>
      <c r="O338" s="13"/>
    </row>
    <row r="339" customFormat="false" ht="15.75" hidden="false" customHeight="true" outlineLevel="0" collapsed="false">
      <c r="B339" s="36"/>
      <c r="C339" s="36"/>
      <c r="D339" s="4"/>
      <c r="E339" s="36"/>
      <c r="F339" s="36"/>
      <c r="G339" s="37" t="n">
        <v>0</v>
      </c>
      <c r="H339" s="49" t="str">
        <f aca="false">IF(G339=0,"",G339*0.1)</f>
        <v/>
      </c>
      <c r="I339" s="35" t="str">
        <f aca="false">IF(G339=0,"",G339*1.1)</f>
        <v/>
      </c>
      <c r="J339" s="36"/>
      <c r="K339" s="36"/>
      <c r="L339" s="36"/>
      <c r="M339" s="37" t="n">
        <v>0</v>
      </c>
      <c r="N339" s="36"/>
      <c r="O339" s="5"/>
    </row>
    <row r="340" customFormat="false" ht="15.75" hidden="false" customHeight="true" outlineLevel="0" collapsed="false">
      <c r="B340" s="32"/>
      <c r="C340" s="32"/>
      <c r="D340" s="33"/>
      <c r="E340" s="32"/>
      <c r="F340" s="32"/>
      <c r="G340" s="34" t="n">
        <v>0</v>
      </c>
      <c r="H340" s="48" t="str">
        <f aca="false">IF(G340=0,"",G340*0.1)</f>
        <v/>
      </c>
      <c r="I340" s="35" t="str">
        <f aca="false">IF(G340=0,"",G340*1.1)</f>
        <v/>
      </c>
      <c r="J340" s="32"/>
      <c r="K340" s="32"/>
      <c r="L340" s="32"/>
      <c r="M340" s="34" t="n">
        <v>0</v>
      </c>
      <c r="N340" s="32"/>
      <c r="O340" s="13"/>
    </row>
    <row r="341" customFormat="false" ht="15.75" hidden="false" customHeight="true" outlineLevel="0" collapsed="false">
      <c r="B341" s="36"/>
      <c r="C341" s="36"/>
      <c r="D341" s="4"/>
      <c r="E341" s="36"/>
      <c r="F341" s="36"/>
      <c r="G341" s="37" t="n">
        <v>0</v>
      </c>
      <c r="H341" s="49" t="str">
        <f aca="false">IF(G341=0,"",G341*0.1)</f>
        <v/>
      </c>
      <c r="I341" s="35" t="str">
        <f aca="false">IF(G341=0,"",G341*1.1)</f>
        <v/>
      </c>
      <c r="J341" s="36"/>
      <c r="K341" s="36"/>
      <c r="L341" s="36"/>
      <c r="M341" s="37" t="n">
        <v>0</v>
      </c>
      <c r="N341" s="36"/>
      <c r="O341" s="5"/>
    </row>
    <row r="342" customFormat="false" ht="15.75" hidden="false" customHeight="true" outlineLevel="0" collapsed="false">
      <c r="B342" s="32"/>
      <c r="C342" s="32"/>
      <c r="D342" s="33"/>
      <c r="E342" s="32"/>
      <c r="F342" s="32"/>
      <c r="G342" s="34" t="n">
        <v>0</v>
      </c>
      <c r="H342" s="48" t="str">
        <f aca="false">IF(G342=0,"",G342*0.1)</f>
        <v/>
      </c>
      <c r="I342" s="35" t="str">
        <f aca="false">IF(G342=0,"",G342*1.1)</f>
        <v/>
      </c>
      <c r="J342" s="32"/>
      <c r="K342" s="32"/>
      <c r="L342" s="32"/>
      <c r="M342" s="34" t="n">
        <v>0</v>
      </c>
      <c r="N342" s="32"/>
      <c r="O342" s="13"/>
    </row>
    <row r="343" customFormat="false" ht="15.75" hidden="false" customHeight="true" outlineLevel="0" collapsed="false">
      <c r="B343" s="36"/>
      <c r="C343" s="36"/>
      <c r="D343" s="4"/>
      <c r="E343" s="36"/>
      <c r="F343" s="36"/>
      <c r="G343" s="37" t="n">
        <v>0</v>
      </c>
      <c r="H343" s="49" t="str">
        <f aca="false">IF(G343=0,"",G343*0.1)</f>
        <v/>
      </c>
      <c r="I343" s="35" t="str">
        <f aca="false">IF(G343=0,"",G343*1.1)</f>
        <v/>
      </c>
      <c r="J343" s="36"/>
      <c r="K343" s="36"/>
      <c r="L343" s="36"/>
      <c r="M343" s="37" t="n">
        <v>0</v>
      </c>
      <c r="N343" s="36"/>
      <c r="O343" s="5"/>
    </row>
    <row r="344" customFormat="false" ht="15.75" hidden="false" customHeight="true" outlineLevel="0" collapsed="false">
      <c r="B344" s="32"/>
      <c r="C344" s="32"/>
      <c r="D344" s="33"/>
      <c r="E344" s="32"/>
      <c r="F344" s="32"/>
      <c r="G344" s="34" t="n">
        <v>0</v>
      </c>
      <c r="H344" s="48" t="str">
        <f aca="false">IF(G344=0,"",G344*0.1)</f>
        <v/>
      </c>
      <c r="I344" s="35" t="str">
        <f aca="false">IF(G344=0,"",G344*1.1)</f>
        <v/>
      </c>
      <c r="J344" s="32"/>
      <c r="K344" s="32"/>
      <c r="L344" s="32"/>
      <c r="M344" s="34" t="n">
        <v>0</v>
      </c>
      <c r="N344" s="32"/>
      <c r="O344" s="13"/>
    </row>
    <row r="345" customFormat="false" ht="15.75" hidden="false" customHeight="true" outlineLevel="0" collapsed="false">
      <c r="B345" s="36"/>
      <c r="C345" s="36"/>
      <c r="D345" s="4"/>
      <c r="E345" s="36"/>
      <c r="F345" s="36"/>
      <c r="G345" s="37" t="n">
        <v>0</v>
      </c>
      <c r="H345" s="49" t="str">
        <f aca="false">IF(G345=0,"",G345*0.1)</f>
        <v/>
      </c>
      <c r="I345" s="35" t="str">
        <f aca="false">IF(G345=0,"",G345*1.1)</f>
        <v/>
      </c>
      <c r="J345" s="36"/>
      <c r="K345" s="36"/>
      <c r="L345" s="36"/>
      <c r="M345" s="37" t="n">
        <v>0</v>
      </c>
      <c r="N345" s="36"/>
      <c r="O345" s="5"/>
    </row>
    <row r="346" customFormat="false" ht="15.75" hidden="false" customHeight="true" outlineLevel="0" collapsed="false">
      <c r="B346" s="32"/>
      <c r="C346" s="32"/>
      <c r="D346" s="33"/>
      <c r="E346" s="32"/>
      <c r="F346" s="32"/>
      <c r="G346" s="34" t="n">
        <v>0</v>
      </c>
      <c r="H346" s="48" t="str">
        <f aca="false">IF(G346=0,"",G346*0.1)</f>
        <v/>
      </c>
      <c r="I346" s="35" t="str">
        <f aca="false">IF(G346=0,"",G346*1.1)</f>
        <v/>
      </c>
      <c r="J346" s="32"/>
      <c r="K346" s="32"/>
      <c r="L346" s="32"/>
      <c r="M346" s="34" t="n">
        <v>0</v>
      </c>
      <c r="N346" s="32"/>
      <c r="O346" s="13"/>
    </row>
    <row r="347" customFormat="false" ht="15.75" hidden="false" customHeight="true" outlineLevel="0" collapsed="false">
      <c r="B347" s="36"/>
      <c r="C347" s="36"/>
      <c r="D347" s="4"/>
      <c r="E347" s="36"/>
      <c r="F347" s="36"/>
      <c r="G347" s="37" t="n">
        <v>0</v>
      </c>
      <c r="H347" s="49" t="str">
        <f aca="false">IF(G347=0,"",G347*0.1)</f>
        <v/>
      </c>
      <c r="I347" s="35" t="str">
        <f aca="false">IF(G347=0,"",G347*1.1)</f>
        <v/>
      </c>
      <c r="J347" s="36"/>
      <c r="K347" s="36"/>
      <c r="L347" s="36"/>
      <c r="M347" s="37" t="n">
        <v>0</v>
      </c>
      <c r="N347" s="36"/>
      <c r="O347" s="5"/>
    </row>
    <row r="348" customFormat="false" ht="15.75" hidden="false" customHeight="true" outlineLevel="0" collapsed="false">
      <c r="B348" s="32"/>
      <c r="C348" s="32"/>
      <c r="D348" s="33"/>
      <c r="E348" s="32"/>
      <c r="F348" s="32"/>
      <c r="G348" s="34" t="n">
        <v>0</v>
      </c>
      <c r="H348" s="48" t="str">
        <f aca="false">IF(G348=0,"",G348*0.1)</f>
        <v/>
      </c>
      <c r="I348" s="35" t="str">
        <f aca="false">IF(G348=0,"",G348*1.1)</f>
        <v/>
      </c>
      <c r="J348" s="32"/>
      <c r="K348" s="32"/>
      <c r="L348" s="32"/>
      <c r="M348" s="34" t="n">
        <v>0</v>
      </c>
      <c r="N348" s="32"/>
      <c r="O348" s="13"/>
    </row>
    <row r="349" customFormat="false" ht="15.75" hidden="false" customHeight="true" outlineLevel="0" collapsed="false">
      <c r="B349" s="36"/>
      <c r="C349" s="36"/>
      <c r="D349" s="4"/>
      <c r="E349" s="36"/>
      <c r="F349" s="36"/>
      <c r="G349" s="37" t="n">
        <v>0</v>
      </c>
      <c r="H349" s="49" t="str">
        <f aca="false">IF(G349=0,"",G349*0.1)</f>
        <v/>
      </c>
      <c r="I349" s="35" t="str">
        <f aca="false">IF(G349=0,"",G349*1.1)</f>
        <v/>
      </c>
      <c r="J349" s="36"/>
      <c r="K349" s="36"/>
      <c r="L349" s="36"/>
      <c r="M349" s="37" t="n">
        <v>0</v>
      </c>
      <c r="N349" s="36"/>
      <c r="O349" s="5"/>
    </row>
    <row r="350" customFormat="false" ht="15.75" hidden="false" customHeight="true" outlineLevel="0" collapsed="false">
      <c r="B350" s="32"/>
      <c r="C350" s="32"/>
      <c r="D350" s="33"/>
      <c r="E350" s="32"/>
      <c r="F350" s="32"/>
      <c r="G350" s="34" t="n">
        <v>0</v>
      </c>
      <c r="H350" s="48" t="str">
        <f aca="false">IF(G350=0,"",G350*0.1)</f>
        <v/>
      </c>
      <c r="I350" s="35" t="str">
        <f aca="false">IF(G350=0,"",G350*1.1)</f>
        <v/>
      </c>
      <c r="J350" s="32"/>
      <c r="K350" s="32"/>
      <c r="L350" s="32"/>
      <c r="M350" s="34" t="n">
        <v>0</v>
      </c>
      <c r="N350" s="32"/>
      <c r="O350" s="13"/>
    </row>
    <row r="351" customFormat="false" ht="15.75" hidden="false" customHeight="true" outlineLevel="0" collapsed="false">
      <c r="B351" s="36"/>
      <c r="C351" s="36"/>
      <c r="D351" s="4"/>
      <c r="E351" s="36"/>
      <c r="F351" s="36"/>
      <c r="G351" s="37" t="n">
        <v>0</v>
      </c>
      <c r="H351" s="49" t="str">
        <f aca="false">IF(G351=0,"",G351*0.1)</f>
        <v/>
      </c>
      <c r="I351" s="35" t="str">
        <f aca="false">IF(G351=0,"",G351*1.1)</f>
        <v/>
      </c>
      <c r="J351" s="36"/>
      <c r="K351" s="36"/>
      <c r="L351" s="36"/>
      <c r="M351" s="37" t="n">
        <v>0</v>
      </c>
      <c r="N351" s="36"/>
      <c r="O351" s="5"/>
    </row>
    <row r="352" customFormat="false" ht="15.75" hidden="false" customHeight="true" outlineLevel="0" collapsed="false">
      <c r="B352" s="32"/>
      <c r="C352" s="32"/>
      <c r="D352" s="33"/>
      <c r="E352" s="32"/>
      <c r="F352" s="32"/>
      <c r="G352" s="34" t="n">
        <v>0</v>
      </c>
      <c r="H352" s="48" t="str">
        <f aca="false">IF(G352=0,"",G352*0.1)</f>
        <v/>
      </c>
      <c r="I352" s="35" t="str">
        <f aca="false">IF(G352=0,"",G352*1.1)</f>
        <v/>
      </c>
      <c r="J352" s="32"/>
      <c r="K352" s="32"/>
      <c r="L352" s="32"/>
      <c r="M352" s="34" t="n">
        <v>0</v>
      </c>
      <c r="N352" s="32"/>
      <c r="O352" s="13"/>
    </row>
    <row r="353" customFormat="false" ht="15.75" hidden="false" customHeight="true" outlineLevel="0" collapsed="false">
      <c r="B353" s="36"/>
      <c r="C353" s="36"/>
      <c r="D353" s="4"/>
      <c r="E353" s="36"/>
      <c r="F353" s="36"/>
      <c r="G353" s="37" t="n">
        <v>0</v>
      </c>
      <c r="H353" s="49" t="str">
        <f aca="false">IF(G353=0,"",G353*0.1)</f>
        <v/>
      </c>
      <c r="I353" s="35" t="str">
        <f aca="false">IF(G353=0,"",G353*1.1)</f>
        <v/>
      </c>
      <c r="J353" s="36"/>
      <c r="K353" s="36"/>
      <c r="L353" s="36"/>
      <c r="M353" s="37" t="n">
        <v>0</v>
      </c>
      <c r="N353" s="36"/>
      <c r="O353" s="5"/>
    </row>
    <row r="354" customFormat="false" ht="15.75" hidden="false" customHeight="true" outlineLevel="0" collapsed="false">
      <c r="B354" s="32"/>
      <c r="C354" s="32"/>
      <c r="D354" s="33"/>
      <c r="E354" s="32"/>
      <c r="F354" s="32"/>
      <c r="G354" s="34" t="n">
        <v>0</v>
      </c>
      <c r="H354" s="48" t="str">
        <f aca="false">IF(G354=0,"",G354*0.1)</f>
        <v/>
      </c>
      <c r="I354" s="35" t="str">
        <f aca="false">IF(G354=0,"",G354*1.1)</f>
        <v/>
      </c>
      <c r="J354" s="32"/>
      <c r="K354" s="32"/>
      <c r="L354" s="32"/>
      <c r="M354" s="34" t="n">
        <v>0</v>
      </c>
      <c r="N354" s="32"/>
      <c r="O354" s="13"/>
    </row>
    <row r="355" customFormat="false" ht="15.75" hidden="false" customHeight="true" outlineLevel="0" collapsed="false">
      <c r="B355" s="36"/>
      <c r="C355" s="36"/>
      <c r="D355" s="4"/>
      <c r="E355" s="36"/>
      <c r="F355" s="36"/>
      <c r="G355" s="37" t="n">
        <v>0</v>
      </c>
      <c r="H355" s="49" t="str">
        <f aca="false">IF(G355=0,"",G355*0.1)</f>
        <v/>
      </c>
      <c r="I355" s="35" t="str">
        <f aca="false">IF(G355=0,"",G355*1.1)</f>
        <v/>
      </c>
      <c r="J355" s="36"/>
      <c r="K355" s="36"/>
      <c r="L355" s="36"/>
      <c r="M355" s="37" t="n">
        <v>0</v>
      </c>
      <c r="N355" s="36"/>
      <c r="O355" s="5"/>
    </row>
    <row r="356" customFormat="false" ht="15.75" hidden="false" customHeight="true" outlineLevel="0" collapsed="false">
      <c r="B356" s="32"/>
      <c r="C356" s="32"/>
      <c r="D356" s="33"/>
      <c r="E356" s="32"/>
      <c r="F356" s="32"/>
      <c r="G356" s="34" t="n">
        <v>0</v>
      </c>
      <c r="H356" s="48" t="str">
        <f aca="false">IF(G356=0,"",G356*0.1)</f>
        <v/>
      </c>
      <c r="I356" s="35" t="str">
        <f aca="false">IF(G356=0,"",G356*1.1)</f>
        <v/>
      </c>
      <c r="J356" s="32"/>
      <c r="K356" s="32"/>
      <c r="L356" s="32"/>
      <c r="M356" s="34" t="n">
        <v>0</v>
      </c>
      <c r="N356" s="32"/>
      <c r="O356" s="13"/>
    </row>
    <row r="357" customFormat="false" ht="15.75" hidden="false" customHeight="true" outlineLevel="0" collapsed="false">
      <c r="B357" s="36"/>
      <c r="C357" s="36"/>
      <c r="D357" s="4"/>
      <c r="E357" s="36"/>
      <c r="F357" s="36"/>
      <c r="G357" s="37" t="n">
        <v>0</v>
      </c>
      <c r="H357" s="49" t="str">
        <f aca="false">IF(G357=0,"",G357*0.1)</f>
        <v/>
      </c>
      <c r="I357" s="35" t="str">
        <f aca="false">IF(G357=0,"",G357*1.1)</f>
        <v/>
      </c>
      <c r="J357" s="36"/>
      <c r="K357" s="36"/>
      <c r="L357" s="36"/>
      <c r="M357" s="37" t="n">
        <v>0</v>
      </c>
      <c r="N357" s="36"/>
      <c r="O357" s="5"/>
    </row>
    <row r="358" customFormat="false" ht="15.75" hidden="false" customHeight="true" outlineLevel="0" collapsed="false">
      <c r="B358" s="32"/>
      <c r="C358" s="32"/>
      <c r="D358" s="33"/>
      <c r="E358" s="32"/>
      <c r="F358" s="32"/>
      <c r="G358" s="34" t="n">
        <v>0</v>
      </c>
      <c r="H358" s="48" t="str">
        <f aca="false">IF(G358=0,"",G358*0.1)</f>
        <v/>
      </c>
      <c r="I358" s="35" t="str">
        <f aca="false">IF(G358=0,"",G358*1.1)</f>
        <v/>
      </c>
      <c r="J358" s="32"/>
      <c r="K358" s="32"/>
      <c r="L358" s="32"/>
      <c r="M358" s="34" t="n">
        <v>0</v>
      </c>
      <c r="N358" s="32"/>
      <c r="O358" s="13"/>
    </row>
    <row r="359" customFormat="false" ht="15.75" hidden="false" customHeight="true" outlineLevel="0" collapsed="false">
      <c r="B359" s="36"/>
      <c r="C359" s="36"/>
      <c r="D359" s="4"/>
      <c r="E359" s="36"/>
      <c r="F359" s="36"/>
      <c r="G359" s="37" t="n">
        <v>0</v>
      </c>
      <c r="H359" s="49" t="str">
        <f aca="false">IF(G359=0,"",G359*0.1)</f>
        <v/>
      </c>
      <c r="I359" s="35" t="str">
        <f aca="false">IF(G359=0,"",G359*1.1)</f>
        <v/>
      </c>
      <c r="J359" s="36"/>
      <c r="K359" s="36"/>
      <c r="L359" s="36"/>
      <c r="M359" s="37" t="n">
        <v>0</v>
      </c>
      <c r="N359" s="36"/>
      <c r="O359" s="5"/>
    </row>
    <row r="360" customFormat="false" ht="15.75" hidden="false" customHeight="true" outlineLevel="0" collapsed="false">
      <c r="B360" s="32"/>
      <c r="C360" s="32"/>
      <c r="D360" s="33"/>
      <c r="E360" s="32"/>
      <c r="F360" s="32"/>
      <c r="G360" s="34" t="n">
        <v>0</v>
      </c>
      <c r="H360" s="48" t="str">
        <f aca="false">IF(G360=0,"",G360*0.1)</f>
        <v/>
      </c>
      <c r="I360" s="35" t="str">
        <f aca="false">IF(G360=0,"",G360*1.1)</f>
        <v/>
      </c>
      <c r="J360" s="32"/>
      <c r="K360" s="32"/>
      <c r="L360" s="32"/>
      <c r="M360" s="34" t="n">
        <v>0</v>
      </c>
      <c r="N360" s="32"/>
      <c r="O360" s="13"/>
    </row>
    <row r="361" customFormat="false" ht="15.75" hidden="false" customHeight="true" outlineLevel="0" collapsed="false">
      <c r="B361" s="36"/>
      <c r="C361" s="36"/>
      <c r="D361" s="4"/>
      <c r="E361" s="36"/>
      <c r="F361" s="36"/>
      <c r="G361" s="37" t="n">
        <v>0</v>
      </c>
      <c r="H361" s="49" t="str">
        <f aca="false">IF(G361=0,"",G361*0.1)</f>
        <v/>
      </c>
      <c r="I361" s="35" t="str">
        <f aca="false">IF(G361=0,"",G361*1.1)</f>
        <v/>
      </c>
      <c r="J361" s="36"/>
      <c r="K361" s="36"/>
      <c r="L361" s="36"/>
      <c r="M361" s="37" t="n">
        <v>0</v>
      </c>
      <c r="N361" s="36"/>
      <c r="O361" s="5"/>
    </row>
    <row r="362" customFormat="false" ht="15.75" hidden="false" customHeight="true" outlineLevel="0" collapsed="false">
      <c r="B362" s="32"/>
      <c r="C362" s="32"/>
      <c r="D362" s="33"/>
      <c r="E362" s="32"/>
      <c r="F362" s="32"/>
      <c r="G362" s="34" t="n">
        <v>0</v>
      </c>
      <c r="H362" s="48" t="str">
        <f aca="false">IF(G362=0,"",G362*0.1)</f>
        <v/>
      </c>
      <c r="I362" s="35" t="str">
        <f aca="false">IF(G362=0,"",G362*1.1)</f>
        <v/>
      </c>
      <c r="J362" s="32"/>
      <c r="K362" s="32"/>
      <c r="L362" s="32"/>
      <c r="M362" s="34" t="n">
        <v>0</v>
      </c>
      <c r="N362" s="32"/>
      <c r="O362" s="13"/>
    </row>
    <row r="363" customFormat="false" ht="15.75" hidden="false" customHeight="true" outlineLevel="0" collapsed="false">
      <c r="B363" s="36"/>
      <c r="C363" s="36"/>
      <c r="D363" s="4"/>
      <c r="E363" s="36"/>
      <c r="F363" s="36"/>
      <c r="G363" s="37" t="n">
        <v>0</v>
      </c>
      <c r="H363" s="49" t="str">
        <f aca="false">IF(G363=0,"",G363*0.1)</f>
        <v/>
      </c>
      <c r="I363" s="35" t="str">
        <f aca="false">IF(G363=0,"",G363*1.1)</f>
        <v/>
      </c>
      <c r="J363" s="36"/>
      <c r="K363" s="36"/>
      <c r="L363" s="36"/>
      <c r="M363" s="37" t="n">
        <v>0</v>
      </c>
      <c r="N363" s="36"/>
      <c r="O363" s="5"/>
    </row>
    <row r="364" customFormat="false" ht="15.75" hidden="false" customHeight="true" outlineLevel="0" collapsed="false">
      <c r="B364" s="32"/>
      <c r="C364" s="32"/>
      <c r="D364" s="33"/>
      <c r="E364" s="32"/>
      <c r="F364" s="32"/>
      <c r="G364" s="34" t="n">
        <v>0</v>
      </c>
      <c r="H364" s="48" t="str">
        <f aca="false">IF(G364=0,"",G364*0.1)</f>
        <v/>
      </c>
      <c r="I364" s="35" t="str">
        <f aca="false">IF(G364=0,"",G364*1.1)</f>
        <v/>
      </c>
      <c r="J364" s="32"/>
      <c r="K364" s="32"/>
      <c r="L364" s="32"/>
      <c r="M364" s="34" t="n">
        <v>0</v>
      </c>
      <c r="N364" s="32"/>
      <c r="O364" s="13"/>
    </row>
    <row r="365" customFormat="false" ht="15.75" hidden="false" customHeight="true" outlineLevel="0" collapsed="false">
      <c r="B365" s="36"/>
      <c r="C365" s="36"/>
      <c r="D365" s="4"/>
      <c r="E365" s="36"/>
      <c r="F365" s="36"/>
      <c r="G365" s="37" t="n">
        <v>0</v>
      </c>
      <c r="H365" s="49" t="str">
        <f aca="false">IF(G365=0,"",G365*0.1)</f>
        <v/>
      </c>
      <c r="I365" s="35" t="str">
        <f aca="false">IF(G365=0,"",G365*1.1)</f>
        <v/>
      </c>
      <c r="J365" s="36"/>
      <c r="K365" s="36"/>
      <c r="L365" s="36"/>
      <c r="M365" s="37" t="n">
        <v>0</v>
      </c>
      <c r="N365" s="36"/>
      <c r="O365" s="5"/>
    </row>
    <row r="366" customFormat="false" ht="15.75" hidden="false" customHeight="true" outlineLevel="0" collapsed="false">
      <c r="B366" s="32"/>
      <c r="C366" s="32"/>
      <c r="D366" s="33"/>
      <c r="E366" s="32"/>
      <c r="F366" s="32"/>
      <c r="G366" s="34" t="n">
        <v>0</v>
      </c>
      <c r="H366" s="48" t="str">
        <f aca="false">IF(G366=0,"",G366*0.1)</f>
        <v/>
      </c>
      <c r="I366" s="35" t="str">
        <f aca="false">IF(G366=0,"",G366*1.1)</f>
        <v/>
      </c>
      <c r="J366" s="32"/>
      <c r="K366" s="32"/>
      <c r="L366" s="32"/>
      <c r="M366" s="34" t="n">
        <v>0</v>
      </c>
      <c r="N366" s="32"/>
      <c r="O366" s="13"/>
    </row>
    <row r="367" customFormat="false" ht="15.75" hidden="false" customHeight="true" outlineLevel="0" collapsed="false">
      <c r="B367" s="36"/>
      <c r="C367" s="36"/>
      <c r="D367" s="4"/>
      <c r="E367" s="36"/>
      <c r="F367" s="36"/>
      <c r="G367" s="37" t="n">
        <v>0</v>
      </c>
      <c r="H367" s="49" t="str">
        <f aca="false">IF(G367=0,"",G367*0.1)</f>
        <v/>
      </c>
      <c r="I367" s="35" t="str">
        <f aca="false">IF(G367=0,"",G367*1.1)</f>
        <v/>
      </c>
      <c r="J367" s="36"/>
      <c r="K367" s="36"/>
      <c r="L367" s="36"/>
      <c r="M367" s="37" t="n">
        <v>0</v>
      </c>
      <c r="N367" s="36"/>
      <c r="O367" s="5"/>
    </row>
    <row r="368" customFormat="false" ht="15.75" hidden="false" customHeight="true" outlineLevel="0" collapsed="false">
      <c r="B368" s="32"/>
      <c r="C368" s="32"/>
      <c r="D368" s="33"/>
      <c r="E368" s="32"/>
      <c r="F368" s="32"/>
      <c r="G368" s="34" t="n">
        <v>0</v>
      </c>
      <c r="H368" s="48" t="str">
        <f aca="false">IF(G368=0,"",G368*0.1)</f>
        <v/>
      </c>
      <c r="I368" s="35" t="str">
        <f aca="false">IF(G368=0,"",G368*1.1)</f>
        <v/>
      </c>
      <c r="J368" s="32"/>
      <c r="K368" s="32"/>
      <c r="L368" s="32"/>
      <c r="M368" s="34" t="n">
        <v>0</v>
      </c>
      <c r="N368" s="32"/>
      <c r="O368" s="13"/>
    </row>
    <row r="369" customFormat="false" ht="15.75" hidden="false" customHeight="true" outlineLevel="0" collapsed="false">
      <c r="B369" s="36"/>
      <c r="C369" s="36"/>
      <c r="D369" s="4"/>
      <c r="E369" s="36"/>
      <c r="F369" s="36"/>
      <c r="G369" s="37" t="n">
        <v>0</v>
      </c>
      <c r="H369" s="49" t="str">
        <f aca="false">IF(G369=0,"",G369*0.1)</f>
        <v/>
      </c>
      <c r="I369" s="35" t="str">
        <f aca="false">IF(G369=0,"",G369*1.1)</f>
        <v/>
      </c>
      <c r="J369" s="36"/>
      <c r="K369" s="36"/>
      <c r="L369" s="36"/>
      <c r="M369" s="37" t="n">
        <v>0</v>
      </c>
      <c r="N369" s="36"/>
      <c r="O369" s="5"/>
    </row>
    <row r="370" customFormat="false" ht="15.75" hidden="false" customHeight="true" outlineLevel="0" collapsed="false">
      <c r="B370" s="32"/>
      <c r="C370" s="32"/>
      <c r="D370" s="33"/>
      <c r="E370" s="32"/>
      <c r="F370" s="32"/>
      <c r="G370" s="34" t="n">
        <v>0</v>
      </c>
      <c r="H370" s="48" t="str">
        <f aca="false">IF(G370=0,"",G370*0.1)</f>
        <v/>
      </c>
      <c r="I370" s="35" t="str">
        <f aca="false">IF(G370=0,"",G370*1.1)</f>
        <v/>
      </c>
      <c r="J370" s="32"/>
      <c r="K370" s="32"/>
      <c r="L370" s="32"/>
      <c r="M370" s="34" t="n">
        <v>0</v>
      </c>
      <c r="N370" s="32"/>
      <c r="O370" s="13"/>
    </row>
    <row r="371" customFormat="false" ht="15.75" hidden="false" customHeight="true" outlineLevel="0" collapsed="false">
      <c r="B371" s="36"/>
      <c r="C371" s="36"/>
      <c r="D371" s="4"/>
      <c r="E371" s="36"/>
      <c r="F371" s="36"/>
      <c r="G371" s="37" t="n">
        <v>0</v>
      </c>
      <c r="H371" s="49" t="str">
        <f aca="false">IF(G371=0,"",G371*0.1)</f>
        <v/>
      </c>
      <c r="I371" s="35" t="str">
        <f aca="false">IF(G371=0,"",G371*1.1)</f>
        <v/>
      </c>
      <c r="J371" s="36"/>
      <c r="K371" s="36"/>
      <c r="L371" s="36"/>
      <c r="M371" s="37" t="n">
        <v>0</v>
      </c>
      <c r="N371" s="36"/>
      <c r="O371" s="5"/>
    </row>
    <row r="372" customFormat="false" ht="15.75" hidden="false" customHeight="true" outlineLevel="0" collapsed="false">
      <c r="B372" s="32"/>
      <c r="C372" s="32"/>
      <c r="D372" s="33"/>
      <c r="E372" s="32"/>
      <c r="F372" s="32"/>
      <c r="G372" s="34" t="n">
        <v>0</v>
      </c>
      <c r="H372" s="48" t="str">
        <f aca="false">IF(G372=0,"",G372*0.1)</f>
        <v/>
      </c>
      <c r="I372" s="35" t="str">
        <f aca="false">IF(G372=0,"",G372*1.1)</f>
        <v/>
      </c>
      <c r="J372" s="32"/>
      <c r="K372" s="32"/>
      <c r="L372" s="32"/>
      <c r="M372" s="34" t="n">
        <v>0</v>
      </c>
      <c r="N372" s="32"/>
      <c r="O372" s="13"/>
    </row>
    <row r="373" customFormat="false" ht="15.75" hidden="false" customHeight="true" outlineLevel="0" collapsed="false">
      <c r="B373" s="36"/>
      <c r="C373" s="36"/>
      <c r="D373" s="4"/>
      <c r="E373" s="36"/>
      <c r="F373" s="36"/>
      <c r="G373" s="37" t="n">
        <v>0</v>
      </c>
      <c r="H373" s="49" t="str">
        <f aca="false">IF(G373=0,"",G373*0.1)</f>
        <v/>
      </c>
      <c r="I373" s="35" t="str">
        <f aca="false">IF(G373=0,"",G373*1.1)</f>
        <v/>
      </c>
      <c r="J373" s="36"/>
      <c r="K373" s="36"/>
      <c r="L373" s="36"/>
      <c r="M373" s="37" t="n">
        <v>0</v>
      </c>
      <c r="N373" s="36"/>
      <c r="O373" s="5"/>
    </row>
    <row r="374" customFormat="false" ht="15.75" hidden="false" customHeight="true" outlineLevel="0" collapsed="false">
      <c r="B374" s="32"/>
      <c r="C374" s="32"/>
      <c r="D374" s="33"/>
      <c r="E374" s="32"/>
      <c r="F374" s="32"/>
      <c r="G374" s="34" t="n">
        <v>0</v>
      </c>
      <c r="H374" s="48" t="str">
        <f aca="false">IF(G374=0,"",G374*0.1)</f>
        <v/>
      </c>
      <c r="I374" s="35" t="str">
        <f aca="false">IF(G374=0,"",G374*1.1)</f>
        <v/>
      </c>
      <c r="J374" s="32"/>
      <c r="K374" s="32"/>
      <c r="L374" s="32"/>
      <c r="M374" s="34" t="n">
        <v>0</v>
      </c>
      <c r="N374" s="32"/>
      <c r="O374" s="13"/>
    </row>
    <row r="375" customFormat="false" ht="15.75" hidden="false" customHeight="true" outlineLevel="0" collapsed="false">
      <c r="B375" s="36"/>
      <c r="C375" s="36"/>
      <c r="D375" s="4"/>
      <c r="E375" s="36"/>
      <c r="F375" s="36"/>
      <c r="G375" s="37" t="n">
        <v>0</v>
      </c>
      <c r="H375" s="49" t="str">
        <f aca="false">IF(G375=0,"",G375*0.1)</f>
        <v/>
      </c>
      <c r="I375" s="35" t="str">
        <f aca="false">IF(G375=0,"",G375*1.1)</f>
        <v/>
      </c>
      <c r="J375" s="36"/>
      <c r="K375" s="36"/>
      <c r="L375" s="36"/>
      <c r="M375" s="37" t="n">
        <v>0</v>
      </c>
      <c r="N375" s="36"/>
      <c r="O375" s="5"/>
    </row>
    <row r="376" customFormat="false" ht="15.75" hidden="false" customHeight="true" outlineLevel="0" collapsed="false">
      <c r="B376" s="32"/>
      <c r="C376" s="32"/>
      <c r="D376" s="33"/>
      <c r="E376" s="32"/>
      <c r="F376" s="32"/>
      <c r="G376" s="34" t="n">
        <v>0</v>
      </c>
      <c r="H376" s="48" t="str">
        <f aca="false">IF(G376=0,"",G376*0.1)</f>
        <v/>
      </c>
      <c r="I376" s="35" t="str">
        <f aca="false">IF(G376=0,"",G376*1.1)</f>
        <v/>
      </c>
      <c r="J376" s="32"/>
      <c r="K376" s="32"/>
      <c r="L376" s="32"/>
      <c r="M376" s="34" t="n">
        <v>0</v>
      </c>
      <c r="N376" s="32"/>
      <c r="O376" s="13"/>
    </row>
    <row r="377" customFormat="false" ht="15.75" hidden="false" customHeight="true" outlineLevel="0" collapsed="false">
      <c r="B377" s="36"/>
      <c r="C377" s="36"/>
      <c r="D377" s="4"/>
      <c r="E377" s="36"/>
      <c r="F377" s="36"/>
      <c r="G377" s="37" t="n">
        <v>0</v>
      </c>
      <c r="H377" s="49" t="str">
        <f aca="false">IF(G377=0,"",G377*0.1)</f>
        <v/>
      </c>
      <c r="I377" s="35" t="str">
        <f aca="false">IF(G377=0,"",G377*1.1)</f>
        <v/>
      </c>
      <c r="J377" s="36"/>
      <c r="K377" s="36"/>
      <c r="L377" s="36"/>
      <c r="M377" s="37" t="n">
        <v>0</v>
      </c>
      <c r="N377" s="36"/>
      <c r="O377" s="5"/>
    </row>
    <row r="378" customFormat="false" ht="15.75" hidden="false" customHeight="true" outlineLevel="0" collapsed="false">
      <c r="B378" s="32"/>
      <c r="C378" s="32"/>
      <c r="D378" s="33"/>
      <c r="E378" s="32"/>
      <c r="F378" s="32"/>
      <c r="G378" s="34" t="n">
        <v>0</v>
      </c>
      <c r="H378" s="48" t="str">
        <f aca="false">IF(G378=0,"",G378*0.1)</f>
        <v/>
      </c>
      <c r="I378" s="35" t="str">
        <f aca="false">IF(G378=0,"",G378*1.1)</f>
        <v/>
      </c>
      <c r="J378" s="32"/>
      <c r="K378" s="32"/>
      <c r="L378" s="32"/>
      <c r="M378" s="34" t="n">
        <v>0</v>
      </c>
      <c r="N378" s="32"/>
      <c r="O378" s="13"/>
    </row>
    <row r="379" customFormat="false" ht="15.75" hidden="false" customHeight="true" outlineLevel="0" collapsed="false">
      <c r="B379" s="36"/>
      <c r="C379" s="36"/>
      <c r="D379" s="4"/>
      <c r="E379" s="36"/>
      <c r="F379" s="36"/>
      <c r="G379" s="37" t="n">
        <v>0</v>
      </c>
      <c r="H379" s="49" t="str">
        <f aca="false">IF(G379=0,"",G379*0.1)</f>
        <v/>
      </c>
      <c r="I379" s="35" t="str">
        <f aca="false">IF(G379=0,"",G379*1.1)</f>
        <v/>
      </c>
      <c r="J379" s="36"/>
      <c r="K379" s="36"/>
      <c r="L379" s="36"/>
      <c r="M379" s="37" t="n">
        <v>0</v>
      </c>
      <c r="N379" s="36"/>
      <c r="O379" s="5"/>
    </row>
    <row r="380" customFormat="false" ht="15.75" hidden="false" customHeight="true" outlineLevel="0" collapsed="false">
      <c r="B380" s="32"/>
      <c r="C380" s="32"/>
      <c r="D380" s="33"/>
      <c r="E380" s="32"/>
      <c r="F380" s="32"/>
      <c r="G380" s="34" t="n">
        <v>0</v>
      </c>
      <c r="H380" s="48" t="str">
        <f aca="false">IF(G380=0,"",G380*0.1)</f>
        <v/>
      </c>
      <c r="I380" s="35" t="str">
        <f aca="false">IF(G380=0,"",G380*1.1)</f>
        <v/>
      </c>
      <c r="J380" s="32"/>
      <c r="K380" s="32"/>
      <c r="L380" s="32"/>
      <c r="M380" s="34" t="n">
        <v>0</v>
      </c>
      <c r="N380" s="32"/>
      <c r="O380" s="13"/>
    </row>
    <row r="381" customFormat="false" ht="15.75" hidden="false" customHeight="true" outlineLevel="0" collapsed="false">
      <c r="B381" s="36"/>
      <c r="C381" s="36"/>
      <c r="D381" s="4"/>
      <c r="E381" s="36"/>
      <c r="F381" s="36"/>
      <c r="G381" s="37" t="n">
        <v>0</v>
      </c>
      <c r="H381" s="49" t="str">
        <f aca="false">IF(G381=0,"",G381*0.1)</f>
        <v/>
      </c>
      <c r="I381" s="35" t="str">
        <f aca="false">IF(G381=0,"",G381*1.1)</f>
        <v/>
      </c>
      <c r="J381" s="36"/>
      <c r="K381" s="36"/>
      <c r="L381" s="36"/>
      <c r="M381" s="37" t="n">
        <v>0</v>
      </c>
      <c r="N381" s="36"/>
      <c r="O381" s="5"/>
    </row>
    <row r="382" customFormat="false" ht="15.75" hidden="false" customHeight="true" outlineLevel="0" collapsed="false">
      <c r="B382" s="32"/>
      <c r="C382" s="32"/>
      <c r="D382" s="33"/>
      <c r="E382" s="32"/>
      <c r="F382" s="32"/>
      <c r="G382" s="34" t="n">
        <v>0</v>
      </c>
      <c r="H382" s="48" t="str">
        <f aca="false">IF(G382=0,"",G382*0.1)</f>
        <v/>
      </c>
      <c r="I382" s="35" t="str">
        <f aca="false">IF(G382=0,"",G382*1.1)</f>
        <v/>
      </c>
      <c r="J382" s="32"/>
      <c r="K382" s="32"/>
      <c r="L382" s="32"/>
      <c r="M382" s="34" t="n">
        <v>0</v>
      </c>
      <c r="N382" s="32"/>
      <c r="O382" s="13"/>
    </row>
    <row r="383" customFormat="false" ht="15.75" hidden="false" customHeight="true" outlineLevel="0" collapsed="false">
      <c r="B383" s="36"/>
      <c r="C383" s="36"/>
      <c r="D383" s="4"/>
      <c r="E383" s="36"/>
      <c r="F383" s="36"/>
      <c r="G383" s="37" t="n">
        <v>0</v>
      </c>
      <c r="H383" s="49" t="str">
        <f aca="false">IF(G383=0,"",G383*0.1)</f>
        <v/>
      </c>
      <c r="I383" s="35" t="str">
        <f aca="false">IF(G383=0,"",G383*1.1)</f>
        <v/>
      </c>
      <c r="J383" s="36"/>
      <c r="K383" s="36"/>
      <c r="L383" s="36"/>
      <c r="M383" s="37" t="n">
        <v>0</v>
      </c>
      <c r="N383" s="36"/>
      <c r="O383" s="5"/>
    </row>
    <row r="384" customFormat="false" ht="15.75" hidden="false" customHeight="true" outlineLevel="0" collapsed="false">
      <c r="B384" s="32"/>
      <c r="C384" s="32"/>
      <c r="D384" s="33"/>
      <c r="E384" s="32"/>
      <c r="F384" s="32"/>
      <c r="G384" s="34" t="n">
        <v>0</v>
      </c>
      <c r="H384" s="48" t="str">
        <f aca="false">IF(G384=0,"",G384*0.1)</f>
        <v/>
      </c>
      <c r="I384" s="35" t="str">
        <f aca="false">IF(G384=0,"",G384*1.1)</f>
        <v/>
      </c>
      <c r="J384" s="32"/>
      <c r="K384" s="32"/>
      <c r="L384" s="32"/>
      <c r="M384" s="34" t="n">
        <v>0</v>
      </c>
      <c r="N384" s="32"/>
      <c r="O384" s="13"/>
    </row>
    <row r="385" customFormat="false" ht="15.75" hidden="false" customHeight="true" outlineLevel="0" collapsed="false">
      <c r="B385" s="36"/>
      <c r="C385" s="36"/>
      <c r="D385" s="4"/>
      <c r="E385" s="36"/>
      <c r="F385" s="36"/>
      <c r="G385" s="37" t="n">
        <v>0</v>
      </c>
      <c r="H385" s="49" t="str">
        <f aca="false">IF(G385=0,"",G385*0.1)</f>
        <v/>
      </c>
      <c r="I385" s="35" t="str">
        <f aca="false">IF(G385=0,"",G385*1.1)</f>
        <v/>
      </c>
      <c r="J385" s="36"/>
      <c r="K385" s="36"/>
      <c r="L385" s="36"/>
      <c r="M385" s="37" t="n">
        <v>0</v>
      </c>
      <c r="N385" s="36"/>
      <c r="O385" s="5"/>
    </row>
    <row r="386" customFormat="false" ht="15.75" hidden="false" customHeight="true" outlineLevel="0" collapsed="false">
      <c r="B386" s="32"/>
      <c r="C386" s="32"/>
      <c r="D386" s="33"/>
      <c r="E386" s="32"/>
      <c r="F386" s="32"/>
      <c r="G386" s="34" t="n">
        <v>0</v>
      </c>
      <c r="H386" s="48" t="str">
        <f aca="false">IF(G386=0,"",G386*0.1)</f>
        <v/>
      </c>
      <c r="I386" s="35" t="str">
        <f aca="false">IF(G386=0,"",G386*1.1)</f>
        <v/>
      </c>
      <c r="J386" s="32"/>
      <c r="K386" s="32"/>
      <c r="L386" s="32"/>
      <c r="M386" s="34" t="n">
        <v>0</v>
      </c>
      <c r="N386" s="32"/>
      <c r="O386" s="13"/>
    </row>
    <row r="387" customFormat="false" ht="15.75" hidden="false" customHeight="true" outlineLevel="0" collapsed="false">
      <c r="B387" s="36"/>
      <c r="C387" s="36"/>
      <c r="D387" s="4"/>
      <c r="E387" s="36"/>
      <c r="F387" s="36"/>
      <c r="G387" s="37" t="n">
        <v>0</v>
      </c>
      <c r="H387" s="49" t="str">
        <f aca="false">IF(G387=0,"",G387*0.1)</f>
        <v/>
      </c>
      <c r="I387" s="35" t="str">
        <f aca="false">IF(G387=0,"",G387*1.1)</f>
        <v/>
      </c>
      <c r="J387" s="36"/>
      <c r="K387" s="36"/>
      <c r="L387" s="36"/>
      <c r="M387" s="37" t="n">
        <v>0</v>
      </c>
      <c r="N387" s="36"/>
      <c r="O387" s="5"/>
    </row>
    <row r="388" customFormat="false" ht="15.75" hidden="false" customHeight="true" outlineLevel="0" collapsed="false">
      <c r="B388" s="32"/>
      <c r="C388" s="32"/>
      <c r="D388" s="33"/>
      <c r="E388" s="32"/>
      <c r="F388" s="32"/>
      <c r="G388" s="34" t="n">
        <v>0</v>
      </c>
      <c r="H388" s="48" t="str">
        <f aca="false">IF(G388=0,"",G388*0.1)</f>
        <v/>
      </c>
      <c r="I388" s="35" t="str">
        <f aca="false">IF(G388=0,"",G388*1.1)</f>
        <v/>
      </c>
      <c r="J388" s="32"/>
      <c r="K388" s="32"/>
      <c r="L388" s="32"/>
      <c r="M388" s="34" t="n">
        <v>0</v>
      </c>
      <c r="N388" s="32"/>
      <c r="O388" s="13"/>
    </row>
    <row r="389" customFormat="false" ht="15.75" hidden="false" customHeight="true" outlineLevel="0" collapsed="false">
      <c r="B389" s="36"/>
      <c r="C389" s="36"/>
      <c r="D389" s="4"/>
      <c r="E389" s="36"/>
      <c r="F389" s="36"/>
      <c r="G389" s="37" t="n">
        <v>0</v>
      </c>
      <c r="H389" s="49" t="str">
        <f aca="false">IF(G389=0,"",G389*0.1)</f>
        <v/>
      </c>
      <c r="I389" s="35" t="str">
        <f aca="false">IF(G389=0,"",G389*1.1)</f>
        <v/>
      </c>
      <c r="J389" s="36"/>
      <c r="K389" s="36"/>
      <c r="L389" s="36"/>
      <c r="M389" s="37" t="n">
        <v>0</v>
      </c>
      <c r="N389" s="36"/>
      <c r="O389" s="5"/>
    </row>
    <row r="390" customFormat="false" ht="15.75" hidden="false" customHeight="true" outlineLevel="0" collapsed="false">
      <c r="B390" s="32"/>
      <c r="C390" s="32"/>
      <c r="D390" s="33"/>
      <c r="E390" s="32"/>
      <c r="F390" s="32"/>
      <c r="G390" s="34" t="n">
        <v>0</v>
      </c>
      <c r="H390" s="48" t="str">
        <f aca="false">IF(G390=0,"",G390*0.1)</f>
        <v/>
      </c>
      <c r="I390" s="35" t="str">
        <f aca="false">IF(G390=0,"",G390*1.1)</f>
        <v/>
      </c>
      <c r="J390" s="32"/>
      <c r="K390" s="32"/>
      <c r="L390" s="32"/>
      <c r="M390" s="34" t="n">
        <v>0</v>
      </c>
      <c r="N390" s="32"/>
      <c r="O390" s="13"/>
    </row>
    <row r="391" customFormat="false" ht="15.75" hidden="false" customHeight="true" outlineLevel="0" collapsed="false">
      <c r="B391" s="36"/>
      <c r="C391" s="36"/>
      <c r="D391" s="4"/>
      <c r="E391" s="36"/>
      <c r="F391" s="36"/>
      <c r="G391" s="37" t="n">
        <v>0</v>
      </c>
      <c r="H391" s="49" t="str">
        <f aca="false">IF(G391=0,"",G391*0.1)</f>
        <v/>
      </c>
      <c r="I391" s="35" t="str">
        <f aca="false">IF(G391=0,"",G391*1.1)</f>
        <v/>
      </c>
      <c r="J391" s="36"/>
      <c r="K391" s="36"/>
      <c r="L391" s="36"/>
      <c r="M391" s="37" t="n">
        <v>0</v>
      </c>
      <c r="N391" s="36"/>
      <c r="O391" s="5"/>
    </row>
    <row r="392" customFormat="false" ht="15.75" hidden="false" customHeight="true" outlineLevel="0" collapsed="false">
      <c r="B392" s="32"/>
      <c r="C392" s="32"/>
      <c r="D392" s="33"/>
      <c r="E392" s="32"/>
      <c r="F392" s="32"/>
      <c r="G392" s="34" t="n">
        <v>0</v>
      </c>
      <c r="H392" s="48" t="str">
        <f aca="false">IF(G392=0,"",G392*0.1)</f>
        <v/>
      </c>
      <c r="I392" s="35" t="str">
        <f aca="false">IF(G392=0,"",G392*1.1)</f>
        <v/>
      </c>
      <c r="J392" s="32"/>
      <c r="K392" s="32"/>
      <c r="L392" s="32"/>
      <c r="M392" s="34" t="n">
        <v>0</v>
      </c>
      <c r="N392" s="32"/>
      <c r="O392" s="13"/>
    </row>
    <row r="393" customFormat="false" ht="15.75" hidden="false" customHeight="true" outlineLevel="0" collapsed="false">
      <c r="B393" s="36"/>
      <c r="C393" s="36"/>
      <c r="D393" s="4"/>
      <c r="E393" s="36"/>
      <c r="F393" s="36"/>
      <c r="G393" s="37" t="n">
        <v>0</v>
      </c>
      <c r="H393" s="49" t="str">
        <f aca="false">IF(G393=0,"",G393*0.1)</f>
        <v/>
      </c>
      <c r="I393" s="35" t="str">
        <f aca="false">IF(G393=0,"",G393*1.1)</f>
        <v/>
      </c>
      <c r="J393" s="36"/>
      <c r="K393" s="36"/>
      <c r="L393" s="36"/>
      <c r="M393" s="37" t="n">
        <v>0</v>
      </c>
      <c r="N393" s="36"/>
      <c r="O393" s="5"/>
    </row>
    <row r="394" customFormat="false" ht="15.75" hidden="false" customHeight="true" outlineLevel="0" collapsed="false">
      <c r="B394" s="32"/>
      <c r="C394" s="32"/>
      <c r="D394" s="33"/>
      <c r="E394" s="32"/>
      <c r="F394" s="32"/>
      <c r="G394" s="34" t="n">
        <v>0</v>
      </c>
      <c r="H394" s="48" t="str">
        <f aca="false">IF(G394=0,"",G394*0.1)</f>
        <v/>
      </c>
      <c r="I394" s="35" t="str">
        <f aca="false">IF(G394=0,"",G394*1.1)</f>
        <v/>
      </c>
      <c r="J394" s="32"/>
      <c r="K394" s="32"/>
      <c r="L394" s="32"/>
      <c r="M394" s="34" t="n">
        <v>0</v>
      </c>
      <c r="N394" s="32"/>
      <c r="O394" s="13"/>
    </row>
    <row r="395" customFormat="false" ht="15.75" hidden="false" customHeight="true" outlineLevel="0" collapsed="false">
      <c r="B395" s="36"/>
      <c r="C395" s="36"/>
      <c r="D395" s="4"/>
      <c r="E395" s="36"/>
      <c r="F395" s="36"/>
      <c r="G395" s="37" t="n">
        <v>0</v>
      </c>
      <c r="H395" s="49" t="str">
        <f aca="false">IF(G395=0,"",G395*0.1)</f>
        <v/>
      </c>
      <c r="I395" s="35" t="str">
        <f aca="false">IF(G395=0,"",G395*1.1)</f>
        <v/>
      </c>
      <c r="J395" s="36"/>
      <c r="K395" s="36"/>
      <c r="L395" s="36"/>
      <c r="M395" s="37" t="n">
        <v>0</v>
      </c>
      <c r="N395" s="36"/>
      <c r="O395" s="5"/>
    </row>
    <row r="396" customFormat="false" ht="15.75" hidden="false" customHeight="true" outlineLevel="0" collapsed="false">
      <c r="B396" s="32"/>
      <c r="C396" s="32"/>
      <c r="D396" s="33"/>
      <c r="E396" s="32"/>
      <c r="F396" s="32"/>
      <c r="G396" s="34" t="n">
        <v>0</v>
      </c>
      <c r="H396" s="48" t="str">
        <f aca="false">IF(G396=0,"",G396*0.1)</f>
        <v/>
      </c>
      <c r="I396" s="35" t="str">
        <f aca="false">IF(G396=0,"",G396*1.1)</f>
        <v/>
      </c>
      <c r="J396" s="32"/>
      <c r="K396" s="32"/>
      <c r="L396" s="32"/>
      <c r="M396" s="34" t="n">
        <v>0</v>
      </c>
      <c r="N396" s="32"/>
      <c r="O396" s="13"/>
    </row>
    <row r="397" customFormat="false" ht="15.75" hidden="false" customHeight="true" outlineLevel="0" collapsed="false">
      <c r="B397" s="36"/>
      <c r="C397" s="36"/>
      <c r="D397" s="4"/>
      <c r="E397" s="36"/>
      <c r="F397" s="36"/>
      <c r="G397" s="37" t="n">
        <v>0</v>
      </c>
      <c r="H397" s="49" t="str">
        <f aca="false">IF(G397=0,"",G397*0.1)</f>
        <v/>
      </c>
      <c r="I397" s="35" t="str">
        <f aca="false">IF(G397=0,"",G397*1.1)</f>
        <v/>
      </c>
      <c r="J397" s="36"/>
      <c r="K397" s="36"/>
      <c r="L397" s="36"/>
      <c r="M397" s="37" t="n">
        <v>0</v>
      </c>
      <c r="N397" s="36"/>
      <c r="O397" s="5"/>
    </row>
    <row r="398" customFormat="false" ht="15.75" hidden="false" customHeight="true" outlineLevel="0" collapsed="false">
      <c r="B398" s="32"/>
      <c r="C398" s="32"/>
      <c r="D398" s="33"/>
      <c r="E398" s="32"/>
      <c r="F398" s="32"/>
      <c r="G398" s="34" t="n">
        <v>0</v>
      </c>
      <c r="H398" s="48" t="str">
        <f aca="false">IF(G398=0,"",G398*0.1)</f>
        <v/>
      </c>
      <c r="I398" s="35" t="str">
        <f aca="false">IF(G398=0,"",G398*1.1)</f>
        <v/>
      </c>
      <c r="J398" s="32"/>
      <c r="K398" s="32"/>
      <c r="L398" s="32"/>
      <c r="M398" s="34" t="n">
        <v>0</v>
      </c>
      <c r="N398" s="32"/>
      <c r="O398" s="13"/>
    </row>
    <row r="399" customFormat="false" ht="15.75" hidden="false" customHeight="true" outlineLevel="0" collapsed="false">
      <c r="B399" s="36"/>
      <c r="C399" s="36"/>
      <c r="D399" s="4"/>
      <c r="E399" s="36"/>
      <c r="F399" s="36"/>
      <c r="G399" s="37" t="n">
        <v>0</v>
      </c>
      <c r="H399" s="49" t="str">
        <f aca="false">IF(G399=0,"",G399*0.1)</f>
        <v/>
      </c>
      <c r="I399" s="35" t="str">
        <f aca="false">IF(G399=0,"",G399*1.1)</f>
        <v/>
      </c>
      <c r="J399" s="36"/>
      <c r="K399" s="36"/>
      <c r="L399" s="36"/>
      <c r="M399" s="37" t="n">
        <v>0</v>
      </c>
      <c r="N399" s="36"/>
      <c r="O399" s="5"/>
    </row>
    <row r="400" customFormat="false" ht="15.75" hidden="false" customHeight="true" outlineLevel="0" collapsed="false">
      <c r="B400" s="32"/>
      <c r="C400" s="32"/>
      <c r="D400" s="33"/>
      <c r="E400" s="32"/>
      <c r="F400" s="32"/>
      <c r="G400" s="34" t="n">
        <v>0</v>
      </c>
      <c r="H400" s="48" t="str">
        <f aca="false">IF(G400=0,"",G400*0.1)</f>
        <v/>
      </c>
      <c r="I400" s="35" t="str">
        <f aca="false">IF(G400=0,"",G400*1.1)</f>
        <v/>
      </c>
      <c r="J400" s="32"/>
      <c r="K400" s="32"/>
      <c r="L400" s="32"/>
      <c r="M400" s="34" t="n">
        <v>0</v>
      </c>
      <c r="N400" s="32"/>
      <c r="O400" s="13"/>
    </row>
    <row r="401" customFormat="false" ht="15.75" hidden="false" customHeight="true" outlineLevel="0" collapsed="false">
      <c r="B401" s="36"/>
      <c r="C401" s="36"/>
      <c r="D401" s="4"/>
      <c r="E401" s="36"/>
      <c r="F401" s="36"/>
      <c r="G401" s="37" t="n">
        <v>0</v>
      </c>
      <c r="H401" s="49" t="str">
        <f aca="false">IF(G401=0,"",G401*0.1)</f>
        <v/>
      </c>
      <c r="I401" s="35" t="str">
        <f aca="false">IF(G401=0,"",G401*1.1)</f>
        <v/>
      </c>
      <c r="J401" s="36"/>
      <c r="K401" s="36"/>
      <c r="L401" s="36"/>
      <c r="M401" s="37" t="n">
        <v>0</v>
      </c>
      <c r="N401" s="36"/>
      <c r="O401" s="5"/>
    </row>
    <row r="402" customFormat="false" ht="15.75" hidden="false" customHeight="true" outlineLevel="0" collapsed="false">
      <c r="B402" s="32"/>
      <c r="C402" s="32"/>
      <c r="D402" s="33"/>
      <c r="E402" s="32"/>
      <c r="F402" s="32"/>
      <c r="G402" s="34" t="n">
        <v>0</v>
      </c>
      <c r="H402" s="48" t="str">
        <f aca="false">IF(G402=0,"",G402*0.1)</f>
        <v/>
      </c>
      <c r="I402" s="35" t="str">
        <f aca="false">IF(G402=0,"",G402*1.1)</f>
        <v/>
      </c>
      <c r="J402" s="32"/>
      <c r="K402" s="32"/>
      <c r="L402" s="32"/>
      <c r="M402" s="34" t="n">
        <v>0</v>
      </c>
      <c r="N402" s="32"/>
      <c r="O402" s="13"/>
    </row>
    <row r="403" customFormat="false" ht="15.75" hidden="false" customHeight="true" outlineLevel="0" collapsed="false">
      <c r="B403" s="36"/>
      <c r="C403" s="36"/>
      <c r="D403" s="4"/>
      <c r="E403" s="36"/>
      <c r="F403" s="36"/>
      <c r="G403" s="37" t="n">
        <v>0</v>
      </c>
      <c r="H403" s="49" t="str">
        <f aca="false">IF(G403=0,"",G403*0.1)</f>
        <v/>
      </c>
      <c r="I403" s="35" t="str">
        <f aca="false">IF(G403=0,"",G403*1.1)</f>
        <v/>
      </c>
      <c r="J403" s="36"/>
      <c r="K403" s="36"/>
      <c r="L403" s="36"/>
      <c r="M403" s="37" t="n">
        <v>0</v>
      </c>
      <c r="N403" s="36"/>
      <c r="O403" s="5"/>
    </row>
    <row r="404" customFormat="false" ht="15.75" hidden="false" customHeight="true" outlineLevel="0" collapsed="false">
      <c r="B404" s="32"/>
      <c r="C404" s="32"/>
      <c r="D404" s="33"/>
      <c r="E404" s="32"/>
      <c r="F404" s="32"/>
      <c r="G404" s="34" t="n">
        <v>0</v>
      </c>
      <c r="H404" s="48" t="str">
        <f aca="false">IF(G404=0,"",G404*0.1)</f>
        <v/>
      </c>
      <c r="I404" s="35" t="str">
        <f aca="false">IF(G404=0,"",G404*1.1)</f>
        <v/>
      </c>
      <c r="J404" s="32"/>
      <c r="K404" s="32"/>
      <c r="L404" s="32"/>
      <c r="M404" s="34" t="n">
        <v>0</v>
      </c>
      <c r="N404" s="32"/>
      <c r="O404" s="13"/>
    </row>
    <row r="405" customFormat="false" ht="15.75" hidden="false" customHeight="true" outlineLevel="0" collapsed="false">
      <c r="B405" s="36"/>
      <c r="C405" s="36"/>
      <c r="D405" s="4"/>
      <c r="E405" s="36"/>
      <c r="F405" s="36"/>
      <c r="G405" s="37" t="n">
        <v>0</v>
      </c>
      <c r="H405" s="49" t="str">
        <f aca="false">IF(G405=0,"",G405*0.1)</f>
        <v/>
      </c>
      <c r="I405" s="35" t="str">
        <f aca="false">IF(G405=0,"",G405*1.1)</f>
        <v/>
      </c>
      <c r="J405" s="36"/>
      <c r="K405" s="36"/>
      <c r="L405" s="36"/>
      <c r="M405" s="37" t="n">
        <v>0</v>
      </c>
      <c r="N405" s="36"/>
      <c r="O405" s="5"/>
    </row>
    <row r="406" customFormat="false" ht="19.5" hidden="false" customHeight="true" outlineLevel="0" collapsed="false">
      <c r="B406" s="38" t="s">
        <v>560</v>
      </c>
      <c r="C406" s="2"/>
      <c r="D406" s="2"/>
      <c r="E406" s="2"/>
      <c r="F406" s="2"/>
      <c r="G406" s="39" t="n">
        <f aca="false">SUM(G6:G405)</f>
        <v>0</v>
      </c>
      <c r="H406" s="39" t="n">
        <f aca="false">SUM(H6:H405)</f>
        <v>0</v>
      </c>
      <c r="I406" s="39" t="n">
        <f aca="false">SUM(I6:I405)</f>
        <v>0</v>
      </c>
      <c r="J406" s="2"/>
      <c r="K406" s="2"/>
      <c r="L406" s="2"/>
      <c r="M406" s="39" t="n">
        <f aca="false">SUM(M6:M405)</f>
        <v>0</v>
      </c>
      <c r="N406" s="2"/>
      <c r="O40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M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2" min="11" style="0" width="14"/>
    <col collapsed="false" customWidth="true" hidden="false" outlineLevel="0" max="13" min="13" style="0" width="3"/>
  </cols>
  <sheetData>
    <row r="2" customFormat="false" ht="39.75" hidden="false" customHeight="true" outlineLevel="0" collapsed="false">
      <c r="B2" s="1" t="s">
        <v>561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.5" hidden="false" customHeight="true" outlineLevel="0" collapsed="false"/>
    <row r="4" customFormat="false" ht="15.75" hidden="false" customHeight="true" outlineLevel="0" collapsed="false">
      <c r="B4" s="29" t="s">
        <v>562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27.75" hidden="false" customHeight="true" outlineLevel="0" collapsed="false">
      <c r="B5" s="15" t="s">
        <v>19</v>
      </c>
      <c r="C5" s="15" t="s">
        <v>563</v>
      </c>
      <c r="D5" s="15" t="s">
        <v>564</v>
      </c>
      <c r="E5" s="15" t="s">
        <v>565</v>
      </c>
      <c r="F5" s="15" t="s">
        <v>566</v>
      </c>
      <c r="G5" s="15" t="s">
        <v>567</v>
      </c>
      <c r="H5" s="15" t="s">
        <v>554</v>
      </c>
      <c r="I5" s="15" t="s">
        <v>568</v>
      </c>
      <c r="J5" s="15" t="s">
        <v>569</v>
      </c>
      <c r="K5" s="15" t="s">
        <v>541</v>
      </c>
      <c r="L5" s="15" t="s">
        <v>570</v>
      </c>
      <c r="M5" s="2"/>
    </row>
    <row r="6" customFormat="false" ht="15.75" hidden="false" customHeight="true" outlineLevel="0" collapsed="false">
      <c r="B6" s="32"/>
      <c r="C6" s="33"/>
      <c r="D6" s="33"/>
      <c r="E6" s="32"/>
      <c r="F6" s="32"/>
      <c r="G6" s="34" t="n">
        <v>0</v>
      </c>
      <c r="H6" s="48" t="str">
        <f aca="false">IF(G6=0,"",G6*0.1)</f>
        <v/>
      </c>
      <c r="I6" s="35" t="str">
        <f aca="false">IF(G6=0,"",G6*1.1)</f>
        <v/>
      </c>
      <c r="J6" s="34" t="n">
        <v>0</v>
      </c>
      <c r="K6" s="32"/>
      <c r="L6" s="32"/>
      <c r="M6" s="13"/>
    </row>
    <row r="7" customFormat="false" ht="15.75" hidden="false" customHeight="true" outlineLevel="0" collapsed="false">
      <c r="B7" s="36"/>
      <c r="C7" s="4"/>
      <c r="D7" s="4"/>
      <c r="E7" s="36"/>
      <c r="F7" s="36"/>
      <c r="G7" s="37" t="n">
        <v>0</v>
      </c>
      <c r="H7" s="49" t="str">
        <f aca="false">IF(G7=0,"",G7*0.1)</f>
        <v/>
      </c>
      <c r="I7" s="35" t="str">
        <f aca="false">IF(G7=0,"",G7*1.1)</f>
        <v/>
      </c>
      <c r="J7" s="37" t="n">
        <v>0</v>
      </c>
      <c r="K7" s="36"/>
      <c r="L7" s="36"/>
      <c r="M7" s="5"/>
    </row>
    <row r="8" customFormat="false" ht="15.75" hidden="false" customHeight="true" outlineLevel="0" collapsed="false">
      <c r="B8" s="32"/>
      <c r="C8" s="33"/>
      <c r="D8" s="33"/>
      <c r="E8" s="32"/>
      <c r="F8" s="32"/>
      <c r="G8" s="34" t="n">
        <v>0</v>
      </c>
      <c r="H8" s="48" t="str">
        <f aca="false">IF(G8=0,"",G8*0.1)</f>
        <v/>
      </c>
      <c r="I8" s="35" t="str">
        <f aca="false">IF(G8=0,"",G8*1.1)</f>
        <v/>
      </c>
      <c r="J8" s="34" t="n">
        <v>0</v>
      </c>
      <c r="K8" s="32"/>
      <c r="L8" s="32"/>
      <c r="M8" s="13"/>
    </row>
    <row r="9" customFormat="false" ht="15.75" hidden="false" customHeight="true" outlineLevel="0" collapsed="false">
      <c r="B9" s="36"/>
      <c r="C9" s="4"/>
      <c r="D9" s="4"/>
      <c r="E9" s="36"/>
      <c r="F9" s="36"/>
      <c r="G9" s="37" t="n">
        <v>0</v>
      </c>
      <c r="H9" s="49" t="str">
        <f aca="false">IF(G9=0,"",G9*0.1)</f>
        <v/>
      </c>
      <c r="I9" s="35" t="str">
        <f aca="false">IF(G9=0,"",G9*1.1)</f>
        <v/>
      </c>
      <c r="J9" s="37" t="n">
        <v>0</v>
      </c>
      <c r="K9" s="36"/>
      <c r="L9" s="36"/>
      <c r="M9" s="5"/>
    </row>
    <row r="10" customFormat="false" ht="15.75" hidden="false" customHeight="true" outlineLevel="0" collapsed="false">
      <c r="B10" s="32"/>
      <c r="C10" s="33"/>
      <c r="D10" s="33"/>
      <c r="E10" s="32"/>
      <c r="F10" s="32"/>
      <c r="G10" s="34" t="n">
        <v>0</v>
      </c>
      <c r="H10" s="48" t="str">
        <f aca="false">IF(G10=0,"",G10*0.1)</f>
        <v/>
      </c>
      <c r="I10" s="35" t="str">
        <f aca="false">IF(G10=0,"",G10*1.1)</f>
        <v/>
      </c>
      <c r="J10" s="34" t="n">
        <v>0</v>
      </c>
      <c r="K10" s="32"/>
      <c r="L10" s="32"/>
      <c r="M10" s="13"/>
    </row>
    <row r="11" customFormat="false" ht="15.75" hidden="false" customHeight="true" outlineLevel="0" collapsed="false">
      <c r="B11" s="36"/>
      <c r="C11" s="4"/>
      <c r="D11" s="4"/>
      <c r="E11" s="36"/>
      <c r="F11" s="36"/>
      <c r="G11" s="37" t="n">
        <v>0</v>
      </c>
      <c r="H11" s="49" t="str">
        <f aca="false">IF(G11=0,"",G11*0.1)</f>
        <v/>
      </c>
      <c r="I11" s="35" t="str">
        <f aca="false">IF(G11=0,"",G11*1.1)</f>
        <v/>
      </c>
      <c r="J11" s="37" t="n">
        <v>0</v>
      </c>
      <c r="K11" s="36"/>
      <c r="L11" s="36"/>
      <c r="M11" s="5"/>
    </row>
    <row r="12" customFormat="false" ht="15.75" hidden="false" customHeight="true" outlineLevel="0" collapsed="false">
      <c r="B12" s="32"/>
      <c r="C12" s="33"/>
      <c r="D12" s="33"/>
      <c r="E12" s="32"/>
      <c r="F12" s="32"/>
      <c r="G12" s="34" t="n">
        <v>0</v>
      </c>
      <c r="H12" s="48" t="str">
        <f aca="false">IF(G12=0,"",G12*0.1)</f>
        <v/>
      </c>
      <c r="I12" s="35" t="str">
        <f aca="false">IF(G12=0,"",G12*1.1)</f>
        <v/>
      </c>
      <c r="J12" s="34" t="n">
        <v>0</v>
      </c>
      <c r="K12" s="32"/>
      <c r="L12" s="32"/>
      <c r="M12" s="13"/>
    </row>
    <row r="13" customFormat="false" ht="15.75" hidden="false" customHeight="true" outlineLevel="0" collapsed="false">
      <c r="B13" s="36"/>
      <c r="C13" s="4"/>
      <c r="D13" s="4"/>
      <c r="E13" s="36"/>
      <c r="F13" s="36"/>
      <c r="G13" s="37" t="n">
        <v>0</v>
      </c>
      <c r="H13" s="49" t="str">
        <f aca="false">IF(G13=0,"",G13*0.1)</f>
        <v/>
      </c>
      <c r="I13" s="35" t="str">
        <f aca="false">IF(G13=0,"",G13*1.1)</f>
        <v/>
      </c>
      <c r="J13" s="37" t="n">
        <v>0</v>
      </c>
      <c r="K13" s="36"/>
      <c r="L13" s="36"/>
      <c r="M13" s="5"/>
    </row>
    <row r="14" customFormat="false" ht="15.75" hidden="false" customHeight="true" outlineLevel="0" collapsed="false">
      <c r="B14" s="32"/>
      <c r="C14" s="33"/>
      <c r="D14" s="33"/>
      <c r="E14" s="32"/>
      <c r="F14" s="32"/>
      <c r="G14" s="34" t="n">
        <v>0</v>
      </c>
      <c r="H14" s="48" t="str">
        <f aca="false">IF(G14=0,"",G14*0.1)</f>
        <v/>
      </c>
      <c r="I14" s="35" t="str">
        <f aca="false">IF(G14=0,"",G14*1.1)</f>
        <v/>
      </c>
      <c r="J14" s="34" t="n">
        <v>0</v>
      </c>
      <c r="K14" s="32"/>
      <c r="L14" s="32"/>
      <c r="M14" s="13"/>
    </row>
    <row r="15" customFormat="false" ht="15.75" hidden="false" customHeight="true" outlineLevel="0" collapsed="false">
      <c r="B15" s="36"/>
      <c r="C15" s="4"/>
      <c r="D15" s="4"/>
      <c r="E15" s="36"/>
      <c r="F15" s="36"/>
      <c r="G15" s="37" t="n">
        <v>0</v>
      </c>
      <c r="H15" s="49" t="str">
        <f aca="false">IF(G15=0,"",G15*0.1)</f>
        <v/>
      </c>
      <c r="I15" s="35" t="str">
        <f aca="false">IF(G15=0,"",G15*1.1)</f>
        <v/>
      </c>
      <c r="J15" s="37" t="n">
        <v>0</v>
      </c>
      <c r="K15" s="36"/>
      <c r="L15" s="36"/>
      <c r="M15" s="5"/>
    </row>
    <row r="16" customFormat="false" ht="15.75" hidden="false" customHeight="true" outlineLevel="0" collapsed="false">
      <c r="B16" s="32"/>
      <c r="C16" s="33"/>
      <c r="D16" s="33"/>
      <c r="E16" s="32"/>
      <c r="F16" s="32"/>
      <c r="G16" s="34" t="n">
        <v>0</v>
      </c>
      <c r="H16" s="48" t="str">
        <f aca="false">IF(G16=0,"",G16*0.1)</f>
        <v/>
      </c>
      <c r="I16" s="35" t="str">
        <f aca="false">IF(G16=0,"",G16*1.1)</f>
        <v/>
      </c>
      <c r="J16" s="34" t="n">
        <v>0</v>
      </c>
      <c r="K16" s="32"/>
      <c r="L16" s="32"/>
      <c r="M16" s="13"/>
    </row>
    <row r="17" customFormat="false" ht="15.75" hidden="false" customHeight="true" outlineLevel="0" collapsed="false">
      <c r="B17" s="36"/>
      <c r="C17" s="4"/>
      <c r="D17" s="4"/>
      <c r="E17" s="36"/>
      <c r="F17" s="36"/>
      <c r="G17" s="37" t="n">
        <v>0</v>
      </c>
      <c r="H17" s="49" t="str">
        <f aca="false">IF(G17=0,"",G17*0.1)</f>
        <v/>
      </c>
      <c r="I17" s="35" t="str">
        <f aca="false">IF(G17=0,"",G17*1.1)</f>
        <v/>
      </c>
      <c r="J17" s="37" t="n">
        <v>0</v>
      </c>
      <c r="K17" s="36"/>
      <c r="L17" s="36"/>
      <c r="M17" s="5"/>
    </row>
    <row r="18" customFormat="false" ht="15.75" hidden="false" customHeight="true" outlineLevel="0" collapsed="false">
      <c r="B18" s="32"/>
      <c r="C18" s="33"/>
      <c r="D18" s="33"/>
      <c r="E18" s="32"/>
      <c r="F18" s="32"/>
      <c r="G18" s="34" t="n">
        <v>0</v>
      </c>
      <c r="H18" s="48" t="str">
        <f aca="false">IF(G18=0,"",G18*0.1)</f>
        <v/>
      </c>
      <c r="I18" s="35" t="str">
        <f aca="false">IF(G18=0,"",G18*1.1)</f>
        <v/>
      </c>
      <c r="J18" s="34" t="n">
        <v>0</v>
      </c>
      <c r="K18" s="32"/>
      <c r="L18" s="32"/>
      <c r="M18" s="13"/>
    </row>
    <row r="19" customFormat="false" ht="15.75" hidden="false" customHeight="true" outlineLevel="0" collapsed="false">
      <c r="B19" s="36"/>
      <c r="C19" s="4"/>
      <c r="D19" s="4"/>
      <c r="E19" s="36"/>
      <c r="F19" s="36"/>
      <c r="G19" s="37" t="n">
        <v>0</v>
      </c>
      <c r="H19" s="49" t="str">
        <f aca="false">IF(G19=0,"",G19*0.1)</f>
        <v/>
      </c>
      <c r="I19" s="35" t="str">
        <f aca="false">IF(G19=0,"",G19*1.1)</f>
        <v/>
      </c>
      <c r="J19" s="37" t="n">
        <v>0</v>
      </c>
      <c r="K19" s="36"/>
      <c r="L19" s="36"/>
      <c r="M19" s="5"/>
    </row>
    <row r="20" customFormat="false" ht="15.75" hidden="false" customHeight="true" outlineLevel="0" collapsed="false">
      <c r="B20" s="32"/>
      <c r="C20" s="33"/>
      <c r="D20" s="33"/>
      <c r="E20" s="32"/>
      <c r="F20" s="32"/>
      <c r="G20" s="34" t="n">
        <v>0</v>
      </c>
      <c r="H20" s="48" t="str">
        <f aca="false">IF(G20=0,"",G20*0.1)</f>
        <v/>
      </c>
      <c r="I20" s="35" t="str">
        <f aca="false">IF(G20=0,"",G20*1.1)</f>
        <v/>
      </c>
      <c r="J20" s="34" t="n">
        <v>0</v>
      </c>
      <c r="K20" s="32"/>
      <c r="L20" s="32"/>
      <c r="M20" s="13"/>
    </row>
    <row r="21" customFormat="false" ht="15.75" hidden="false" customHeight="true" outlineLevel="0" collapsed="false">
      <c r="B21" s="36"/>
      <c r="C21" s="4"/>
      <c r="D21" s="4"/>
      <c r="E21" s="36"/>
      <c r="F21" s="36"/>
      <c r="G21" s="37" t="n">
        <v>0</v>
      </c>
      <c r="H21" s="49" t="str">
        <f aca="false">IF(G21=0,"",G21*0.1)</f>
        <v/>
      </c>
      <c r="I21" s="35" t="str">
        <f aca="false">IF(G21=0,"",G21*1.1)</f>
        <v/>
      </c>
      <c r="J21" s="37" t="n">
        <v>0</v>
      </c>
      <c r="K21" s="36"/>
      <c r="L21" s="36"/>
      <c r="M21" s="5"/>
    </row>
    <row r="22" customFormat="false" ht="15.75" hidden="false" customHeight="true" outlineLevel="0" collapsed="false">
      <c r="B22" s="32"/>
      <c r="C22" s="33"/>
      <c r="D22" s="33"/>
      <c r="E22" s="32"/>
      <c r="F22" s="32"/>
      <c r="G22" s="34" t="n">
        <v>0</v>
      </c>
      <c r="H22" s="48" t="str">
        <f aca="false">IF(G22=0,"",G22*0.1)</f>
        <v/>
      </c>
      <c r="I22" s="35" t="str">
        <f aca="false">IF(G22=0,"",G22*1.1)</f>
        <v/>
      </c>
      <c r="J22" s="34" t="n">
        <v>0</v>
      </c>
      <c r="K22" s="32"/>
      <c r="L22" s="32"/>
      <c r="M22" s="13"/>
    </row>
    <row r="23" customFormat="false" ht="15.75" hidden="false" customHeight="true" outlineLevel="0" collapsed="false">
      <c r="B23" s="36"/>
      <c r="C23" s="4"/>
      <c r="D23" s="4"/>
      <c r="E23" s="36"/>
      <c r="F23" s="36"/>
      <c r="G23" s="37" t="n">
        <v>0</v>
      </c>
      <c r="H23" s="49" t="str">
        <f aca="false">IF(G23=0,"",G23*0.1)</f>
        <v/>
      </c>
      <c r="I23" s="35" t="str">
        <f aca="false">IF(G23=0,"",G23*1.1)</f>
        <v/>
      </c>
      <c r="J23" s="37" t="n">
        <v>0</v>
      </c>
      <c r="K23" s="36"/>
      <c r="L23" s="36"/>
      <c r="M23" s="5"/>
    </row>
    <row r="24" customFormat="false" ht="15.75" hidden="false" customHeight="true" outlineLevel="0" collapsed="false">
      <c r="B24" s="32"/>
      <c r="C24" s="33"/>
      <c r="D24" s="33"/>
      <c r="E24" s="32"/>
      <c r="F24" s="32"/>
      <c r="G24" s="34" t="n">
        <v>0</v>
      </c>
      <c r="H24" s="48" t="str">
        <f aca="false">IF(G24=0,"",G24*0.1)</f>
        <v/>
      </c>
      <c r="I24" s="35" t="str">
        <f aca="false">IF(G24=0,"",G24*1.1)</f>
        <v/>
      </c>
      <c r="J24" s="34" t="n">
        <v>0</v>
      </c>
      <c r="K24" s="32"/>
      <c r="L24" s="32"/>
      <c r="M24" s="13"/>
    </row>
    <row r="25" customFormat="false" ht="15.75" hidden="false" customHeight="true" outlineLevel="0" collapsed="false">
      <c r="B25" s="36"/>
      <c r="C25" s="4"/>
      <c r="D25" s="4"/>
      <c r="E25" s="36"/>
      <c r="F25" s="36"/>
      <c r="G25" s="37" t="n">
        <v>0</v>
      </c>
      <c r="H25" s="49" t="str">
        <f aca="false">IF(G25=0,"",G25*0.1)</f>
        <v/>
      </c>
      <c r="I25" s="35" t="str">
        <f aca="false">IF(G25=0,"",G25*1.1)</f>
        <v/>
      </c>
      <c r="J25" s="37" t="n">
        <v>0</v>
      </c>
      <c r="K25" s="36"/>
      <c r="L25" s="36"/>
      <c r="M25" s="5"/>
    </row>
    <row r="26" customFormat="false" ht="15.75" hidden="false" customHeight="true" outlineLevel="0" collapsed="false">
      <c r="B26" s="32"/>
      <c r="C26" s="33"/>
      <c r="D26" s="33"/>
      <c r="E26" s="32"/>
      <c r="F26" s="32"/>
      <c r="G26" s="34" t="n">
        <v>0</v>
      </c>
      <c r="H26" s="48" t="str">
        <f aca="false">IF(G26=0,"",G26*0.1)</f>
        <v/>
      </c>
      <c r="I26" s="35" t="str">
        <f aca="false">IF(G26=0,"",G26*1.1)</f>
        <v/>
      </c>
      <c r="J26" s="34" t="n">
        <v>0</v>
      </c>
      <c r="K26" s="32"/>
      <c r="L26" s="32"/>
      <c r="M26" s="13"/>
    </row>
    <row r="27" customFormat="false" ht="15.75" hidden="false" customHeight="true" outlineLevel="0" collapsed="false">
      <c r="B27" s="36"/>
      <c r="C27" s="4"/>
      <c r="D27" s="4"/>
      <c r="E27" s="36"/>
      <c r="F27" s="36"/>
      <c r="G27" s="37" t="n">
        <v>0</v>
      </c>
      <c r="H27" s="49" t="str">
        <f aca="false">IF(G27=0,"",G27*0.1)</f>
        <v/>
      </c>
      <c r="I27" s="35" t="str">
        <f aca="false">IF(G27=0,"",G27*1.1)</f>
        <v/>
      </c>
      <c r="J27" s="37" t="n">
        <v>0</v>
      </c>
      <c r="K27" s="36"/>
      <c r="L27" s="36"/>
      <c r="M27" s="5"/>
    </row>
    <row r="28" customFormat="false" ht="15.75" hidden="false" customHeight="true" outlineLevel="0" collapsed="false">
      <c r="B28" s="32"/>
      <c r="C28" s="33"/>
      <c r="D28" s="33"/>
      <c r="E28" s="32"/>
      <c r="F28" s="32"/>
      <c r="G28" s="34" t="n">
        <v>0</v>
      </c>
      <c r="H28" s="48" t="str">
        <f aca="false">IF(G28=0,"",G28*0.1)</f>
        <v/>
      </c>
      <c r="I28" s="35" t="str">
        <f aca="false">IF(G28=0,"",G28*1.1)</f>
        <v/>
      </c>
      <c r="J28" s="34" t="n">
        <v>0</v>
      </c>
      <c r="K28" s="32"/>
      <c r="L28" s="32"/>
      <c r="M28" s="13"/>
    </row>
    <row r="29" customFormat="false" ht="15.75" hidden="false" customHeight="true" outlineLevel="0" collapsed="false">
      <c r="B29" s="36"/>
      <c r="C29" s="4"/>
      <c r="D29" s="4"/>
      <c r="E29" s="36"/>
      <c r="F29" s="36"/>
      <c r="G29" s="37" t="n">
        <v>0</v>
      </c>
      <c r="H29" s="49" t="str">
        <f aca="false">IF(G29=0,"",G29*0.1)</f>
        <v/>
      </c>
      <c r="I29" s="35" t="str">
        <f aca="false">IF(G29=0,"",G29*1.1)</f>
        <v/>
      </c>
      <c r="J29" s="37" t="n">
        <v>0</v>
      </c>
      <c r="K29" s="36"/>
      <c r="L29" s="36"/>
      <c r="M29" s="5"/>
    </row>
    <row r="30" customFormat="false" ht="15.75" hidden="false" customHeight="true" outlineLevel="0" collapsed="false">
      <c r="B30" s="32"/>
      <c r="C30" s="33"/>
      <c r="D30" s="33"/>
      <c r="E30" s="32"/>
      <c r="F30" s="32"/>
      <c r="G30" s="34" t="n">
        <v>0</v>
      </c>
      <c r="H30" s="48" t="str">
        <f aca="false">IF(G30=0,"",G30*0.1)</f>
        <v/>
      </c>
      <c r="I30" s="35" t="str">
        <f aca="false">IF(G30=0,"",G30*1.1)</f>
        <v/>
      </c>
      <c r="J30" s="34" t="n">
        <v>0</v>
      </c>
      <c r="K30" s="32"/>
      <c r="L30" s="32"/>
      <c r="M30" s="13"/>
    </row>
    <row r="31" customFormat="false" ht="15.75" hidden="false" customHeight="true" outlineLevel="0" collapsed="false">
      <c r="B31" s="36"/>
      <c r="C31" s="4"/>
      <c r="D31" s="4"/>
      <c r="E31" s="36"/>
      <c r="F31" s="36"/>
      <c r="G31" s="37" t="n">
        <v>0</v>
      </c>
      <c r="H31" s="49" t="str">
        <f aca="false">IF(G31=0,"",G31*0.1)</f>
        <v/>
      </c>
      <c r="I31" s="35" t="str">
        <f aca="false">IF(G31=0,"",G31*1.1)</f>
        <v/>
      </c>
      <c r="J31" s="37" t="n">
        <v>0</v>
      </c>
      <c r="K31" s="36"/>
      <c r="L31" s="36"/>
      <c r="M31" s="5"/>
    </row>
    <row r="32" customFormat="false" ht="15.75" hidden="false" customHeight="true" outlineLevel="0" collapsed="false">
      <c r="B32" s="32"/>
      <c r="C32" s="33"/>
      <c r="D32" s="33"/>
      <c r="E32" s="32"/>
      <c r="F32" s="32"/>
      <c r="G32" s="34" t="n">
        <v>0</v>
      </c>
      <c r="H32" s="48" t="str">
        <f aca="false">IF(G32=0,"",G32*0.1)</f>
        <v/>
      </c>
      <c r="I32" s="35" t="str">
        <f aca="false">IF(G32=0,"",G32*1.1)</f>
        <v/>
      </c>
      <c r="J32" s="34" t="n">
        <v>0</v>
      </c>
      <c r="K32" s="32"/>
      <c r="L32" s="32"/>
      <c r="M32" s="13"/>
    </row>
    <row r="33" customFormat="false" ht="15.75" hidden="false" customHeight="true" outlineLevel="0" collapsed="false">
      <c r="B33" s="36"/>
      <c r="C33" s="4"/>
      <c r="D33" s="4"/>
      <c r="E33" s="36"/>
      <c r="F33" s="36"/>
      <c r="G33" s="37" t="n">
        <v>0</v>
      </c>
      <c r="H33" s="49" t="str">
        <f aca="false">IF(G33=0,"",G33*0.1)</f>
        <v/>
      </c>
      <c r="I33" s="35" t="str">
        <f aca="false">IF(G33=0,"",G33*1.1)</f>
        <v/>
      </c>
      <c r="J33" s="37" t="n">
        <v>0</v>
      </c>
      <c r="K33" s="36"/>
      <c r="L33" s="36"/>
      <c r="M33" s="5"/>
    </row>
    <row r="34" customFormat="false" ht="15.75" hidden="false" customHeight="true" outlineLevel="0" collapsed="false">
      <c r="B34" s="32"/>
      <c r="C34" s="33"/>
      <c r="D34" s="33"/>
      <c r="E34" s="32"/>
      <c r="F34" s="32"/>
      <c r="G34" s="34" t="n">
        <v>0</v>
      </c>
      <c r="H34" s="48" t="str">
        <f aca="false">IF(G34=0,"",G34*0.1)</f>
        <v/>
      </c>
      <c r="I34" s="35" t="str">
        <f aca="false">IF(G34=0,"",G34*1.1)</f>
        <v/>
      </c>
      <c r="J34" s="34" t="n">
        <v>0</v>
      </c>
      <c r="K34" s="32"/>
      <c r="L34" s="32"/>
      <c r="M34" s="13"/>
    </row>
    <row r="35" customFormat="false" ht="15.75" hidden="false" customHeight="true" outlineLevel="0" collapsed="false">
      <c r="B35" s="36"/>
      <c r="C35" s="4"/>
      <c r="D35" s="4"/>
      <c r="E35" s="36"/>
      <c r="F35" s="36"/>
      <c r="G35" s="37" t="n">
        <v>0</v>
      </c>
      <c r="H35" s="49" t="str">
        <f aca="false">IF(G35=0,"",G35*0.1)</f>
        <v/>
      </c>
      <c r="I35" s="35" t="str">
        <f aca="false">IF(G35=0,"",G35*1.1)</f>
        <v/>
      </c>
      <c r="J35" s="37" t="n">
        <v>0</v>
      </c>
      <c r="K35" s="36"/>
      <c r="L35" s="36"/>
      <c r="M35" s="5"/>
    </row>
    <row r="36" customFormat="false" ht="15.75" hidden="false" customHeight="true" outlineLevel="0" collapsed="false">
      <c r="B36" s="32"/>
      <c r="C36" s="33"/>
      <c r="D36" s="33"/>
      <c r="E36" s="32"/>
      <c r="F36" s="32"/>
      <c r="G36" s="34" t="n">
        <v>0</v>
      </c>
      <c r="H36" s="48" t="str">
        <f aca="false">IF(G36=0,"",G36*0.1)</f>
        <v/>
      </c>
      <c r="I36" s="35" t="str">
        <f aca="false">IF(G36=0,"",G36*1.1)</f>
        <v/>
      </c>
      <c r="J36" s="34" t="n">
        <v>0</v>
      </c>
      <c r="K36" s="32"/>
      <c r="L36" s="32"/>
      <c r="M36" s="13"/>
    </row>
    <row r="37" customFormat="false" ht="15.75" hidden="false" customHeight="true" outlineLevel="0" collapsed="false">
      <c r="B37" s="36"/>
      <c r="C37" s="4"/>
      <c r="D37" s="4"/>
      <c r="E37" s="36"/>
      <c r="F37" s="36"/>
      <c r="G37" s="37" t="n">
        <v>0</v>
      </c>
      <c r="H37" s="49" t="str">
        <f aca="false">IF(G37=0,"",G37*0.1)</f>
        <v/>
      </c>
      <c r="I37" s="35" t="str">
        <f aca="false">IF(G37=0,"",G37*1.1)</f>
        <v/>
      </c>
      <c r="J37" s="37" t="n">
        <v>0</v>
      </c>
      <c r="K37" s="36"/>
      <c r="L37" s="36"/>
      <c r="M37" s="5"/>
    </row>
    <row r="38" customFormat="false" ht="15.75" hidden="false" customHeight="true" outlineLevel="0" collapsed="false">
      <c r="B38" s="32"/>
      <c r="C38" s="33"/>
      <c r="D38" s="33"/>
      <c r="E38" s="32"/>
      <c r="F38" s="32"/>
      <c r="G38" s="34" t="n">
        <v>0</v>
      </c>
      <c r="H38" s="48" t="str">
        <f aca="false">IF(G38=0,"",G38*0.1)</f>
        <v/>
      </c>
      <c r="I38" s="35" t="str">
        <f aca="false">IF(G38=0,"",G38*1.1)</f>
        <v/>
      </c>
      <c r="J38" s="34" t="n">
        <v>0</v>
      </c>
      <c r="K38" s="32"/>
      <c r="L38" s="32"/>
      <c r="M38" s="13"/>
    </row>
    <row r="39" customFormat="false" ht="15.75" hidden="false" customHeight="true" outlineLevel="0" collapsed="false">
      <c r="B39" s="36"/>
      <c r="C39" s="4"/>
      <c r="D39" s="4"/>
      <c r="E39" s="36"/>
      <c r="F39" s="36"/>
      <c r="G39" s="37" t="n">
        <v>0</v>
      </c>
      <c r="H39" s="49" t="str">
        <f aca="false">IF(G39=0,"",G39*0.1)</f>
        <v/>
      </c>
      <c r="I39" s="35" t="str">
        <f aca="false">IF(G39=0,"",G39*1.1)</f>
        <v/>
      </c>
      <c r="J39" s="37" t="n">
        <v>0</v>
      </c>
      <c r="K39" s="36"/>
      <c r="L39" s="36"/>
      <c r="M39" s="5"/>
    </row>
    <row r="40" customFormat="false" ht="15.75" hidden="false" customHeight="true" outlineLevel="0" collapsed="false">
      <c r="B40" s="32"/>
      <c r="C40" s="33"/>
      <c r="D40" s="33"/>
      <c r="E40" s="32"/>
      <c r="F40" s="32"/>
      <c r="G40" s="34" t="n">
        <v>0</v>
      </c>
      <c r="H40" s="48" t="str">
        <f aca="false">IF(G40=0,"",G40*0.1)</f>
        <v/>
      </c>
      <c r="I40" s="35" t="str">
        <f aca="false">IF(G40=0,"",G40*1.1)</f>
        <v/>
      </c>
      <c r="J40" s="34" t="n">
        <v>0</v>
      </c>
      <c r="K40" s="32"/>
      <c r="L40" s="32"/>
      <c r="M40" s="13"/>
    </row>
    <row r="41" customFormat="false" ht="15.75" hidden="false" customHeight="true" outlineLevel="0" collapsed="false">
      <c r="B41" s="36"/>
      <c r="C41" s="4"/>
      <c r="D41" s="4"/>
      <c r="E41" s="36"/>
      <c r="F41" s="36"/>
      <c r="G41" s="37" t="n">
        <v>0</v>
      </c>
      <c r="H41" s="49" t="str">
        <f aca="false">IF(G41=0,"",G41*0.1)</f>
        <v/>
      </c>
      <c r="I41" s="35" t="str">
        <f aca="false">IF(G41=0,"",G41*1.1)</f>
        <v/>
      </c>
      <c r="J41" s="37" t="n">
        <v>0</v>
      </c>
      <c r="K41" s="36"/>
      <c r="L41" s="36"/>
      <c r="M41" s="5"/>
    </row>
    <row r="42" customFormat="false" ht="15.75" hidden="false" customHeight="true" outlineLevel="0" collapsed="false">
      <c r="B42" s="32"/>
      <c r="C42" s="33"/>
      <c r="D42" s="33"/>
      <c r="E42" s="32"/>
      <c r="F42" s="32"/>
      <c r="G42" s="34" t="n">
        <v>0</v>
      </c>
      <c r="H42" s="48" t="str">
        <f aca="false">IF(G42=0,"",G42*0.1)</f>
        <v/>
      </c>
      <c r="I42" s="35" t="str">
        <f aca="false">IF(G42=0,"",G42*1.1)</f>
        <v/>
      </c>
      <c r="J42" s="34" t="n">
        <v>0</v>
      </c>
      <c r="K42" s="32"/>
      <c r="L42" s="32"/>
      <c r="M42" s="13"/>
    </row>
    <row r="43" customFormat="false" ht="15.75" hidden="false" customHeight="true" outlineLevel="0" collapsed="false">
      <c r="B43" s="36"/>
      <c r="C43" s="4"/>
      <c r="D43" s="4"/>
      <c r="E43" s="36"/>
      <c r="F43" s="36"/>
      <c r="G43" s="37" t="n">
        <v>0</v>
      </c>
      <c r="H43" s="49" t="str">
        <f aca="false">IF(G43=0,"",G43*0.1)</f>
        <v/>
      </c>
      <c r="I43" s="35" t="str">
        <f aca="false">IF(G43=0,"",G43*1.1)</f>
        <v/>
      </c>
      <c r="J43" s="37" t="n">
        <v>0</v>
      </c>
      <c r="K43" s="36"/>
      <c r="L43" s="36"/>
      <c r="M43" s="5"/>
    </row>
    <row r="44" customFormat="false" ht="15.75" hidden="false" customHeight="true" outlineLevel="0" collapsed="false">
      <c r="B44" s="32"/>
      <c r="C44" s="33"/>
      <c r="D44" s="33"/>
      <c r="E44" s="32"/>
      <c r="F44" s="32"/>
      <c r="G44" s="34" t="n">
        <v>0</v>
      </c>
      <c r="H44" s="48" t="str">
        <f aca="false">IF(G44=0,"",G44*0.1)</f>
        <v/>
      </c>
      <c r="I44" s="35" t="str">
        <f aca="false">IF(G44=0,"",G44*1.1)</f>
        <v/>
      </c>
      <c r="J44" s="34" t="n">
        <v>0</v>
      </c>
      <c r="K44" s="32"/>
      <c r="L44" s="32"/>
      <c r="M44" s="13"/>
    </row>
    <row r="45" customFormat="false" ht="15.75" hidden="false" customHeight="true" outlineLevel="0" collapsed="false">
      <c r="B45" s="36"/>
      <c r="C45" s="4"/>
      <c r="D45" s="4"/>
      <c r="E45" s="36"/>
      <c r="F45" s="36"/>
      <c r="G45" s="37" t="n">
        <v>0</v>
      </c>
      <c r="H45" s="49" t="str">
        <f aca="false">IF(G45=0,"",G45*0.1)</f>
        <v/>
      </c>
      <c r="I45" s="35" t="str">
        <f aca="false">IF(G45=0,"",G45*1.1)</f>
        <v/>
      </c>
      <c r="J45" s="37" t="n">
        <v>0</v>
      </c>
      <c r="K45" s="36"/>
      <c r="L45" s="36"/>
      <c r="M45" s="5"/>
    </row>
    <row r="46" customFormat="false" ht="15.75" hidden="false" customHeight="true" outlineLevel="0" collapsed="false">
      <c r="B46" s="32"/>
      <c r="C46" s="33"/>
      <c r="D46" s="33"/>
      <c r="E46" s="32"/>
      <c r="F46" s="32"/>
      <c r="G46" s="34" t="n">
        <v>0</v>
      </c>
      <c r="H46" s="48" t="str">
        <f aca="false">IF(G46=0,"",G46*0.1)</f>
        <v/>
      </c>
      <c r="I46" s="35" t="str">
        <f aca="false">IF(G46=0,"",G46*1.1)</f>
        <v/>
      </c>
      <c r="J46" s="34" t="n">
        <v>0</v>
      </c>
      <c r="K46" s="32"/>
      <c r="L46" s="32"/>
      <c r="M46" s="13"/>
    </row>
    <row r="47" customFormat="false" ht="15.75" hidden="false" customHeight="true" outlineLevel="0" collapsed="false">
      <c r="B47" s="36"/>
      <c r="C47" s="4"/>
      <c r="D47" s="4"/>
      <c r="E47" s="36"/>
      <c r="F47" s="36"/>
      <c r="G47" s="37" t="n">
        <v>0</v>
      </c>
      <c r="H47" s="49" t="str">
        <f aca="false">IF(G47=0,"",G47*0.1)</f>
        <v/>
      </c>
      <c r="I47" s="35" t="str">
        <f aca="false">IF(G47=0,"",G47*1.1)</f>
        <v/>
      </c>
      <c r="J47" s="37" t="n">
        <v>0</v>
      </c>
      <c r="K47" s="36"/>
      <c r="L47" s="36"/>
      <c r="M47" s="5"/>
    </row>
    <row r="48" customFormat="false" ht="15.75" hidden="false" customHeight="true" outlineLevel="0" collapsed="false">
      <c r="B48" s="32"/>
      <c r="C48" s="33"/>
      <c r="D48" s="33"/>
      <c r="E48" s="32"/>
      <c r="F48" s="32"/>
      <c r="G48" s="34" t="n">
        <v>0</v>
      </c>
      <c r="H48" s="48" t="str">
        <f aca="false">IF(G48=0,"",G48*0.1)</f>
        <v/>
      </c>
      <c r="I48" s="35" t="str">
        <f aca="false">IF(G48=0,"",G48*1.1)</f>
        <v/>
      </c>
      <c r="J48" s="34" t="n">
        <v>0</v>
      </c>
      <c r="K48" s="32"/>
      <c r="L48" s="32"/>
      <c r="M48" s="13"/>
    </row>
    <row r="49" customFormat="false" ht="15.75" hidden="false" customHeight="true" outlineLevel="0" collapsed="false">
      <c r="B49" s="36"/>
      <c r="C49" s="4"/>
      <c r="D49" s="4"/>
      <c r="E49" s="36"/>
      <c r="F49" s="36"/>
      <c r="G49" s="37" t="n">
        <v>0</v>
      </c>
      <c r="H49" s="49" t="str">
        <f aca="false">IF(G49=0,"",G49*0.1)</f>
        <v/>
      </c>
      <c r="I49" s="35" t="str">
        <f aca="false">IF(G49=0,"",G49*1.1)</f>
        <v/>
      </c>
      <c r="J49" s="37" t="n">
        <v>0</v>
      </c>
      <c r="K49" s="36"/>
      <c r="L49" s="36"/>
      <c r="M49" s="5"/>
    </row>
    <row r="50" customFormat="false" ht="15.75" hidden="false" customHeight="true" outlineLevel="0" collapsed="false">
      <c r="B50" s="32"/>
      <c r="C50" s="33"/>
      <c r="D50" s="33"/>
      <c r="E50" s="32"/>
      <c r="F50" s="32"/>
      <c r="G50" s="34" t="n">
        <v>0</v>
      </c>
      <c r="H50" s="48" t="str">
        <f aca="false">IF(G50=0,"",G50*0.1)</f>
        <v/>
      </c>
      <c r="I50" s="35" t="str">
        <f aca="false">IF(G50=0,"",G50*1.1)</f>
        <v/>
      </c>
      <c r="J50" s="34" t="n">
        <v>0</v>
      </c>
      <c r="K50" s="32"/>
      <c r="L50" s="32"/>
      <c r="M50" s="13"/>
    </row>
    <row r="51" customFormat="false" ht="15.75" hidden="false" customHeight="true" outlineLevel="0" collapsed="false">
      <c r="B51" s="36"/>
      <c r="C51" s="4"/>
      <c r="D51" s="4"/>
      <c r="E51" s="36"/>
      <c r="F51" s="36"/>
      <c r="G51" s="37" t="n">
        <v>0</v>
      </c>
      <c r="H51" s="49" t="str">
        <f aca="false">IF(G51=0,"",G51*0.1)</f>
        <v/>
      </c>
      <c r="I51" s="35" t="str">
        <f aca="false">IF(G51=0,"",G51*1.1)</f>
        <v/>
      </c>
      <c r="J51" s="37" t="n">
        <v>0</v>
      </c>
      <c r="K51" s="36"/>
      <c r="L51" s="36"/>
      <c r="M51" s="5"/>
    </row>
    <row r="52" customFormat="false" ht="15.75" hidden="false" customHeight="true" outlineLevel="0" collapsed="false">
      <c r="B52" s="32"/>
      <c r="C52" s="33"/>
      <c r="D52" s="33"/>
      <c r="E52" s="32"/>
      <c r="F52" s="32"/>
      <c r="G52" s="34" t="n">
        <v>0</v>
      </c>
      <c r="H52" s="48" t="str">
        <f aca="false">IF(G52=0,"",G52*0.1)</f>
        <v/>
      </c>
      <c r="I52" s="35" t="str">
        <f aca="false">IF(G52=0,"",G52*1.1)</f>
        <v/>
      </c>
      <c r="J52" s="34" t="n">
        <v>0</v>
      </c>
      <c r="K52" s="32"/>
      <c r="L52" s="32"/>
      <c r="M52" s="13"/>
    </row>
    <row r="53" customFormat="false" ht="15.75" hidden="false" customHeight="true" outlineLevel="0" collapsed="false">
      <c r="B53" s="36"/>
      <c r="C53" s="4"/>
      <c r="D53" s="4"/>
      <c r="E53" s="36"/>
      <c r="F53" s="36"/>
      <c r="G53" s="37" t="n">
        <v>0</v>
      </c>
      <c r="H53" s="49" t="str">
        <f aca="false">IF(G53=0,"",G53*0.1)</f>
        <v/>
      </c>
      <c r="I53" s="35" t="str">
        <f aca="false">IF(G53=0,"",G53*1.1)</f>
        <v/>
      </c>
      <c r="J53" s="37" t="n">
        <v>0</v>
      </c>
      <c r="K53" s="36"/>
      <c r="L53" s="36"/>
      <c r="M53" s="5"/>
    </row>
    <row r="54" customFormat="false" ht="15.75" hidden="false" customHeight="true" outlineLevel="0" collapsed="false">
      <c r="B54" s="32"/>
      <c r="C54" s="33"/>
      <c r="D54" s="33"/>
      <c r="E54" s="32"/>
      <c r="F54" s="32"/>
      <c r="G54" s="34" t="n">
        <v>0</v>
      </c>
      <c r="H54" s="48" t="str">
        <f aca="false">IF(G54=0,"",G54*0.1)</f>
        <v/>
      </c>
      <c r="I54" s="35" t="str">
        <f aca="false">IF(G54=0,"",G54*1.1)</f>
        <v/>
      </c>
      <c r="J54" s="34" t="n">
        <v>0</v>
      </c>
      <c r="K54" s="32"/>
      <c r="L54" s="32"/>
      <c r="M54" s="13"/>
    </row>
    <row r="55" customFormat="false" ht="15.75" hidden="false" customHeight="true" outlineLevel="0" collapsed="false">
      <c r="B55" s="36"/>
      <c r="C55" s="4"/>
      <c r="D55" s="4"/>
      <c r="E55" s="36"/>
      <c r="F55" s="36"/>
      <c r="G55" s="37" t="n">
        <v>0</v>
      </c>
      <c r="H55" s="49" t="str">
        <f aca="false">IF(G55=0,"",G55*0.1)</f>
        <v/>
      </c>
      <c r="I55" s="35" t="str">
        <f aca="false">IF(G55=0,"",G55*1.1)</f>
        <v/>
      </c>
      <c r="J55" s="37" t="n">
        <v>0</v>
      </c>
      <c r="K55" s="36"/>
      <c r="L55" s="36"/>
      <c r="M55" s="5"/>
    </row>
    <row r="56" customFormat="false" ht="15.75" hidden="false" customHeight="true" outlineLevel="0" collapsed="false">
      <c r="B56" s="32"/>
      <c r="C56" s="33"/>
      <c r="D56" s="33"/>
      <c r="E56" s="32"/>
      <c r="F56" s="32"/>
      <c r="G56" s="34" t="n">
        <v>0</v>
      </c>
      <c r="H56" s="48" t="str">
        <f aca="false">IF(G56=0,"",G56*0.1)</f>
        <v/>
      </c>
      <c r="I56" s="35" t="str">
        <f aca="false">IF(G56=0,"",G56*1.1)</f>
        <v/>
      </c>
      <c r="J56" s="34" t="n">
        <v>0</v>
      </c>
      <c r="K56" s="32"/>
      <c r="L56" s="32"/>
      <c r="M56" s="13"/>
    </row>
    <row r="57" customFormat="false" ht="15.75" hidden="false" customHeight="true" outlineLevel="0" collapsed="false">
      <c r="B57" s="36"/>
      <c r="C57" s="4"/>
      <c r="D57" s="4"/>
      <c r="E57" s="36"/>
      <c r="F57" s="36"/>
      <c r="G57" s="37" t="n">
        <v>0</v>
      </c>
      <c r="H57" s="49" t="str">
        <f aca="false">IF(G57=0,"",G57*0.1)</f>
        <v/>
      </c>
      <c r="I57" s="35" t="str">
        <f aca="false">IF(G57=0,"",G57*1.1)</f>
        <v/>
      </c>
      <c r="J57" s="37" t="n">
        <v>0</v>
      </c>
      <c r="K57" s="36"/>
      <c r="L57" s="36"/>
      <c r="M57" s="5"/>
    </row>
    <row r="58" customFormat="false" ht="15.75" hidden="false" customHeight="true" outlineLevel="0" collapsed="false">
      <c r="B58" s="32"/>
      <c r="C58" s="33"/>
      <c r="D58" s="33"/>
      <c r="E58" s="32"/>
      <c r="F58" s="32"/>
      <c r="G58" s="34" t="n">
        <v>0</v>
      </c>
      <c r="H58" s="48" t="str">
        <f aca="false">IF(G58=0,"",G58*0.1)</f>
        <v/>
      </c>
      <c r="I58" s="35" t="str">
        <f aca="false">IF(G58=0,"",G58*1.1)</f>
        <v/>
      </c>
      <c r="J58" s="34" t="n">
        <v>0</v>
      </c>
      <c r="K58" s="32"/>
      <c r="L58" s="32"/>
      <c r="M58" s="13"/>
    </row>
    <row r="59" customFormat="false" ht="15.75" hidden="false" customHeight="true" outlineLevel="0" collapsed="false">
      <c r="B59" s="36"/>
      <c r="C59" s="4"/>
      <c r="D59" s="4"/>
      <c r="E59" s="36"/>
      <c r="F59" s="36"/>
      <c r="G59" s="37" t="n">
        <v>0</v>
      </c>
      <c r="H59" s="49" t="str">
        <f aca="false">IF(G59=0,"",G59*0.1)</f>
        <v/>
      </c>
      <c r="I59" s="35" t="str">
        <f aca="false">IF(G59=0,"",G59*1.1)</f>
        <v/>
      </c>
      <c r="J59" s="37" t="n">
        <v>0</v>
      </c>
      <c r="K59" s="36"/>
      <c r="L59" s="36"/>
      <c r="M59" s="5"/>
    </row>
    <row r="60" customFormat="false" ht="15.75" hidden="false" customHeight="true" outlineLevel="0" collapsed="false">
      <c r="B60" s="32"/>
      <c r="C60" s="33"/>
      <c r="D60" s="33"/>
      <c r="E60" s="32"/>
      <c r="F60" s="32"/>
      <c r="G60" s="34" t="n">
        <v>0</v>
      </c>
      <c r="H60" s="48" t="str">
        <f aca="false">IF(G60=0,"",G60*0.1)</f>
        <v/>
      </c>
      <c r="I60" s="35" t="str">
        <f aca="false">IF(G60=0,"",G60*1.1)</f>
        <v/>
      </c>
      <c r="J60" s="34" t="n">
        <v>0</v>
      </c>
      <c r="K60" s="32"/>
      <c r="L60" s="32"/>
      <c r="M60" s="13"/>
    </row>
    <row r="61" customFormat="false" ht="15.75" hidden="false" customHeight="true" outlineLevel="0" collapsed="false">
      <c r="B61" s="36"/>
      <c r="C61" s="4"/>
      <c r="D61" s="4"/>
      <c r="E61" s="36"/>
      <c r="F61" s="36"/>
      <c r="G61" s="37" t="n">
        <v>0</v>
      </c>
      <c r="H61" s="49" t="str">
        <f aca="false">IF(G61=0,"",G61*0.1)</f>
        <v/>
      </c>
      <c r="I61" s="35" t="str">
        <f aca="false">IF(G61=0,"",G61*1.1)</f>
        <v/>
      </c>
      <c r="J61" s="37" t="n">
        <v>0</v>
      </c>
      <c r="K61" s="36"/>
      <c r="L61" s="36"/>
      <c r="M61" s="5"/>
    </row>
    <row r="62" customFormat="false" ht="15.75" hidden="false" customHeight="true" outlineLevel="0" collapsed="false">
      <c r="B62" s="32"/>
      <c r="C62" s="33"/>
      <c r="D62" s="33"/>
      <c r="E62" s="32"/>
      <c r="F62" s="32"/>
      <c r="G62" s="34" t="n">
        <v>0</v>
      </c>
      <c r="H62" s="48" t="str">
        <f aca="false">IF(G62=0,"",G62*0.1)</f>
        <v/>
      </c>
      <c r="I62" s="35" t="str">
        <f aca="false">IF(G62=0,"",G62*1.1)</f>
        <v/>
      </c>
      <c r="J62" s="34" t="n">
        <v>0</v>
      </c>
      <c r="K62" s="32"/>
      <c r="L62" s="32"/>
      <c r="M62" s="13"/>
    </row>
    <row r="63" customFormat="false" ht="15.75" hidden="false" customHeight="true" outlineLevel="0" collapsed="false">
      <c r="B63" s="36"/>
      <c r="C63" s="4"/>
      <c r="D63" s="4"/>
      <c r="E63" s="36"/>
      <c r="F63" s="36"/>
      <c r="G63" s="37" t="n">
        <v>0</v>
      </c>
      <c r="H63" s="49" t="str">
        <f aca="false">IF(G63=0,"",G63*0.1)</f>
        <v/>
      </c>
      <c r="I63" s="35" t="str">
        <f aca="false">IF(G63=0,"",G63*1.1)</f>
        <v/>
      </c>
      <c r="J63" s="37" t="n">
        <v>0</v>
      </c>
      <c r="K63" s="36"/>
      <c r="L63" s="36"/>
      <c r="M63" s="5"/>
    </row>
    <row r="64" customFormat="false" ht="15.75" hidden="false" customHeight="true" outlineLevel="0" collapsed="false">
      <c r="B64" s="32"/>
      <c r="C64" s="33"/>
      <c r="D64" s="33"/>
      <c r="E64" s="32"/>
      <c r="F64" s="32"/>
      <c r="G64" s="34" t="n">
        <v>0</v>
      </c>
      <c r="H64" s="48" t="str">
        <f aca="false">IF(G64=0,"",G64*0.1)</f>
        <v/>
      </c>
      <c r="I64" s="35" t="str">
        <f aca="false">IF(G64=0,"",G64*1.1)</f>
        <v/>
      </c>
      <c r="J64" s="34" t="n">
        <v>0</v>
      </c>
      <c r="K64" s="32"/>
      <c r="L64" s="32"/>
      <c r="M64" s="13"/>
    </row>
    <row r="65" customFormat="false" ht="15.75" hidden="false" customHeight="true" outlineLevel="0" collapsed="false">
      <c r="B65" s="36"/>
      <c r="C65" s="4"/>
      <c r="D65" s="4"/>
      <c r="E65" s="36"/>
      <c r="F65" s="36"/>
      <c r="G65" s="37" t="n">
        <v>0</v>
      </c>
      <c r="H65" s="49" t="str">
        <f aca="false">IF(G65=0,"",G65*0.1)</f>
        <v/>
      </c>
      <c r="I65" s="35" t="str">
        <f aca="false">IF(G65=0,"",G65*1.1)</f>
        <v/>
      </c>
      <c r="J65" s="37" t="n">
        <v>0</v>
      </c>
      <c r="K65" s="36"/>
      <c r="L65" s="36"/>
      <c r="M65" s="5"/>
    </row>
    <row r="66" customFormat="false" ht="15.75" hidden="false" customHeight="true" outlineLevel="0" collapsed="false">
      <c r="B66" s="32"/>
      <c r="C66" s="33"/>
      <c r="D66" s="33"/>
      <c r="E66" s="32"/>
      <c r="F66" s="32"/>
      <c r="G66" s="34" t="n">
        <v>0</v>
      </c>
      <c r="H66" s="48" t="str">
        <f aca="false">IF(G66=0,"",G66*0.1)</f>
        <v/>
      </c>
      <c r="I66" s="35" t="str">
        <f aca="false">IF(G66=0,"",G66*1.1)</f>
        <v/>
      </c>
      <c r="J66" s="34" t="n">
        <v>0</v>
      </c>
      <c r="K66" s="32"/>
      <c r="L66" s="32"/>
      <c r="M66" s="13"/>
    </row>
    <row r="67" customFormat="false" ht="15.75" hidden="false" customHeight="true" outlineLevel="0" collapsed="false">
      <c r="B67" s="36"/>
      <c r="C67" s="4"/>
      <c r="D67" s="4"/>
      <c r="E67" s="36"/>
      <c r="F67" s="36"/>
      <c r="G67" s="37" t="n">
        <v>0</v>
      </c>
      <c r="H67" s="49" t="str">
        <f aca="false">IF(G67=0,"",G67*0.1)</f>
        <v/>
      </c>
      <c r="I67" s="35" t="str">
        <f aca="false">IF(G67=0,"",G67*1.1)</f>
        <v/>
      </c>
      <c r="J67" s="37" t="n">
        <v>0</v>
      </c>
      <c r="K67" s="36"/>
      <c r="L67" s="36"/>
      <c r="M67" s="5"/>
    </row>
    <row r="68" customFormat="false" ht="15.75" hidden="false" customHeight="true" outlineLevel="0" collapsed="false">
      <c r="B68" s="32"/>
      <c r="C68" s="33"/>
      <c r="D68" s="33"/>
      <c r="E68" s="32"/>
      <c r="F68" s="32"/>
      <c r="G68" s="34" t="n">
        <v>0</v>
      </c>
      <c r="H68" s="48" t="str">
        <f aca="false">IF(G68=0,"",G68*0.1)</f>
        <v/>
      </c>
      <c r="I68" s="35" t="str">
        <f aca="false">IF(G68=0,"",G68*1.1)</f>
        <v/>
      </c>
      <c r="J68" s="34" t="n">
        <v>0</v>
      </c>
      <c r="K68" s="32"/>
      <c r="L68" s="32"/>
      <c r="M68" s="13"/>
    </row>
    <row r="69" customFormat="false" ht="15.75" hidden="false" customHeight="true" outlineLevel="0" collapsed="false">
      <c r="B69" s="36"/>
      <c r="C69" s="4"/>
      <c r="D69" s="4"/>
      <c r="E69" s="36"/>
      <c r="F69" s="36"/>
      <c r="G69" s="37" t="n">
        <v>0</v>
      </c>
      <c r="H69" s="49" t="str">
        <f aca="false">IF(G69=0,"",G69*0.1)</f>
        <v/>
      </c>
      <c r="I69" s="35" t="str">
        <f aca="false">IF(G69=0,"",G69*1.1)</f>
        <v/>
      </c>
      <c r="J69" s="37" t="n">
        <v>0</v>
      </c>
      <c r="K69" s="36"/>
      <c r="L69" s="36"/>
      <c r="M69" s="5"/>
    </row>
    <row r="70" customFormat="false" ht="15.75" hidden="false" customHeight="true" outlineLevel="0" collapsed="false">
      <c r="B70" s="32"/>
      <c r="C70" s="33"/>
      <c r="D70" s="33"/>
      <c r="E70" s="32"/>
      <c r="F70" s="32"/>
      <c r="G70" s="34" t="n">
        <v>0</v>
      </c>
      <c r="H70" s="48" t="str">
        <f aca="false">IF(G70=0,"",G70*0.1)</f>
        <v/>
      </c>
      <c r="I70" s="35" t="str">
        <f aca="false">IF(G70=0,"",G70*1.1)</f>
        <v/>
      </c>
      <c r="J70" s="34" t="n">
        <v>0</v>
      </c>
      <c r="K70" s="32"/>
      <c r="L70" s="32"/>
      <c r="M70" s="13"/>
    </row>
    <row r="71" customFormat="false" ht="15.75" hidden="false" customHeight="true" outlineLevel="0" collapsed="false">
      <c r="B71" s="36"/>
      <c r="C71" s="4"/>
      <c r="D71" s="4"/>
      <c r="E71" s="36"/>
      <c r="F71" s="36"/>
      <c r="G71" s="37" t="n">
        <v>0</v>
      </c>
      <c r="H71" s="49" t="str">
        <f aca="false">IF(G71=0,"",G71*0.1)</f>
        <v/>
      </c>
      <c r="I71" s="35" t="str">
        <f aca="false">IF(G71=0,"",G71*1.1)</f>
        <v/>
      </c>
      <c r="J71" s="37" t="n">
        <v>0</v>
      </c>
      <c r="K71" s="36"/>
      <c r="L71" s="36"/>
      <c r="M71" s="5"/>
    </row>
    <row r="72" customFormat="false" ht="15.75" hidden="false" customHeight="true" outlineLevel="0" collapsed="false">
      <c r="B72" s="32"/>
      <c r="C72" s="33"/>
      <c r="D72" s="33"/>
      <c r="E72" s="32"/>
      <c r="F72" s="32"/>
      <c r="G72" s="34" t="n">
        <v>0</v>
      </c>
      <c r="H72" s="48" t="str">
        <f aca="false">IF(G72=0,"",G72*0.1)</f>
        <v/>
      </c>
      <c r="I72" s="35" t="str">
        <f aca="false">IF(G72=0,"",G72*1.1)</f>
        <v/>
      </c>
      <c r="J72" s="34" t="n">
        <v>0</v>
      </c>
      <c r="K72" s="32"/>
      <c r="L72" s="32"/>
      <c r="M72" s="13"/>
    </row>
    <row r="73" customFormat="false" ht="15.75" hidden="false" customHeight="true" outlineLevel="0" collapsed="false">
      <c r="B73" s="36"/>
      <c r="C73" s="4"/>
      <c r="D73" s="4"/>
      <c r="E73" s="36"/>
      <c r="F73" s="36"/>
      <c r="G73" s="37" t="n">
        <v>0</v>
      </c>
      <c r="H73" s="49" t="str">
        <f aca="false">IF(G73=0,"",G73*0.1)</f>
        <v/>
      </c>
      <c r="I73" s="35" t="str">
        <f aca="false">IF(G73=0,"",G73*1.1)</f>
        <v/>
      </c>
      <c r="J73" s="37" t="n">
        <v>0</v>
      </c>
      <c r="K73" s="36"/>
      <c r="L73" s="36"/>
      <c r="M73" s="5"/>
    </row>
    <row r="74" customFormat="false" ht="15.75" hidden="false" customHeight="true" outlineLevel="0" collapsed="false">
      <c r="B74" s="32"/>
      <c r="C74" s="33"/>
      <c r="D74" s="33"/>
      <c r="E74" s="32"/>
      <c r="F74" s="32"/>
      <c r="G74" s="34" t="n">
        <v>0</v>
      </c>
      <c r="H74" s="48" t="str">
        <f aca="false">IF(G74=0,"",G74*0.1)</f>
        <v/>
      </c>
      <c r="I74" s="35" t="str">
        <f aca="false">IF(G74=0,"",G74*1.1)</f>
        <v/>
      </c>
      <c r="J74" s="34" t="n">
        <v>0</v>
      </c>
      <c r="K74" s="32"/>
      <c r="L74" s="32"/>
      <c r="M74" s="13"/>
    </row>
    <row r="75" customFormat="false" ht="15.75" hidden="false" customHeight="true" outlineLevel="0" collapsed="false">
      <c r="B75" s="36"/>
      <c r="C75" s="4"/>
      <c r="D75" s="4"/>
      <c r="E75" s="36"/>
      <c r="F75" s="36"/>
      <c r="G75" s="37" t="n">
        <v>0</v>
      </c>
      <c r="H75" s="49" t="str">
        <f aca="false">IF(G75=0,"",G75*0.1)</f>
        <v/>
      </c>
      <c r="I75" s="35" t="str">
        <f aca="false">IF(G75=0,"",G75*1.1)</f>
        <v/>
      </c>
      <c r="J75" s="37" t="n">
        <v>0</v>
      </c>
      <c r="K75" s="36"/>
      <c r="L75" s="36"/>
      <c r="M75" s="5"/>
    </row>
    <row r="76" customFormat="false" ht="15.75" hidden="false" customHeight="true" outlineLevel="0" collapsed="false">
      <c r="B76" s="32"/>
      <c r="C76" s="33"/>
      <c r="D76" s="33"/>
      <c r="E76" s="32"/>
      <c r="F76" s="32"/>
      <c r="G76" s="34" t="n">
        <v>0</v>
      </c>
      <c r="H76" s="48" t="str">
        <f aca="false">IF(G76=0,"",G76*0.1)</f>
        <v/>
      </c>
      <c r="I76" s="35" t="str">
        <f aca="false">IF(G76=0,"",G76*1.1)</f>
        <v/>
      </c>
      <c r="J76" s="34" t="n">
        <v>0</v>
      </c>
      <c r="K76" s="32"/>
      <c r="L76" s="32"/>
      <c r="M76" s="13"/>
    </row>
    <row r="77" customFormat="false" ht="15.75" hidden="false" customHeight="true" outlineLevel="0" collapsed="false">
      <c r="B77" s="36"/>
      <c r="C77" s="4"/>
      <c r="D77" s="4"/>
      <c r="E77" s="36"/>
      <c r="F77" s="36"/>
      <c r="G77" s="37" t="n">
        <v>0</v>
      </c>
      <c r="H77" s="49" t="str">
        <f aca="false">IF(G77=0,"",G77*0.1)</f>
        <v/>
      </c>
      <c r="I77" s="35" t="str">
        <f aca="false">IF(G77=0,"",G77*1.1)</f>
        <v/>
      </c>
      <c r="J77" s="37" t="n">
        <v>0</v>
      </c>
      <c r="K77" s="36"/>
      <c r="L77" s="36"/>
      <c r="M77" s="5"/>
    </row>
    <row r="78" customFormat="false" ht="15.75" hidden="false" customHeight="true" outlineLevel="0" collapsed="false">
      <c r="B78" s="32"/>
      <c r="C78" s="33"/>
      <c r="D78" s="33"/>
      <c r="E78" s="32"/>
      <c r="F78" s="32"/>
      <c r="G78" s="34" t="n">
        <v>0</v>
      </c>
      <c r="H78" s="48" t="str">
        <f aca="false">IF(G78=0,"",G78*0.1)</f>
        <v/>
      </c>
      <c r="I78" s="35" t="str">
        <f aca="false">IF(G78=0,"",G78*1.1)</f>
        <v/>
      </c>
      <c r="J78" s="34" t="n">
        <v>0</v>
      </c>
      <c r="K78" s="32"/>
      <c r="L78" s="32"/>
      <c r="M78" s="13"/>
    </row>
    <row r="79" customFormat="false" ht="15.75" hidden="false" customHeight="true" outlineLevel="0" collapsed="false">
      <c r="B79" s="36"/>
      <c r="C79" s="4"/>
      <c r="D79" s="4"/>
      <c r="E79" s="36"/>
      <c r="F79" s="36"/>
      <c r="G79" s="37" t="n">
        <v>0</v>
      </c>
      <c r="H79" s="49" t="str">
        <f aca="false">IF(G79=0,"",G79*0.1)</f>
        <v/>
      </c>
      <c r="I79" s="35" t="str">
        <f aca="false">IF(G79=0,"",G79*1.1)</f>
        <v/>
      </c>
      <c r="J79" s="37" t="n">
        <v>0</v>
      </c>
      <c r="K79" s="36"/>
      <c r="L79" s="36"/>
      <c r="M79" s="5"/>
    </row>
    <row r="80" customFormat="false" ht="15.75" hidden="false" customHeight="true" outlineLevel="0" collapsed="false">
      <c r="B80" s="32"/>
      <c r="C80" s="33"/>
      <c r="D80" s="33"/>
      <c r="E80" s="32"/>
      <c r="F80" s="32"/>
      <c r="G80" s="34" t="n">
        <v>0</v>
      </c>
      <c r="H80" s="48" t="str">
        <f aca="false">IF(G80=0,"",G80*0.1)</f>
        <v/>
      </c>
      <c r="I80" s="35" t="str">
        <f aca="false">IF(G80=0,"",G80*1.1)</f>
        <v/>
      </c>
      <c r="J80" s="34" t="n">
        <v>0</v>
      </c>
      <c r="K80" s="32"/>
      <c r="L80" s="32"/>
      <c r="M80" s="13"/>
    </row>
    <row r="81" customFormat="false" ht="15.75" hidden="false" customHeight="true" outlineLevel="0" collapsed="false">
      <c r="B81" s="36"/>
      <c r="C81" s="4"/>
      <c r="D81" s="4"/>
      <c r="E81" s="36"/>
      <c r="F81" s="36"/>
      <c r="G81" s="37" t="n">
        <v>0</v>
      </c>
      <c r="H81" s="49" t="str">
        <f aca="false">IF(G81=0,"",G81*0.1)</f>
        <v/>
      </c>
      <c r="I81" s="35" t="str">
        <f aca="false">IF(G81=0,"",G81*1.1)</f>
        <v/>
      </c>
      <c r="J81" s="37" t="n">
        <v>0</v>
      </c>
      <c r="K81" s="36"/>
      <c r="L81" s="36"/>
      <c r="M81" s="5"/>
    </row>
    <row r="82" customFormat="false" ht="15.75" hidden="false" customHeight="true" outlineLevel="0" collapsed="false">
      <c r="B82" s="32"/>
      <c r="C82" s="33"/>
      <c r="D82" s="33"/>
      <c r="E82" s="32"/>
      <c r="F82" s="32"/>
      <c r="G82" s="34" t="n">
        <v>0</v>
      </c>
      <c r="H82" s="48" t="str">
        <f aca="false">IF(G82=0,"",G82*0.1)</f>
        <v/>
      </c>
      <c r="I82" s="35" t="str">
        <f aca="false">IF(G82=0,"",G82*1.1)</f>
        <v/>
      </c>
      <c r="J82" s="34" t="n">
        <v>0</v>
      </c>
      <c r="K82" s="32"/>
      <c r="L82" s="32"/>
      <c r="M82" s="13"/>
    </row>
    <row r="83" customFormat="false" ht="15.75" hidden="false" customHeight="true" outlineLevel="0" collapsed="false">
      <c r="B83" s="36"/>
      <c r="C83" s="4"/>
      <c r="D83" s="4"/>
      <c r="E83" s="36"/>
      <c r="F83" s="36"/>
      <c r="G83" s="37" t="n">
        <v>0</v>
      </c>
      <c r="H83" s="49" t="str">
        <f aca="false">IF(G83=0,"",G83*0.1)</f>
        <v/>
      </c>
      <c r="I83" s="35" t="str">
        <f aca="false">IF(G83=0,"",G83*1.1)</f>
        <v/>
      </c>
      <c r="J83" s="37" t="n">
        <v>0</v>
      </c>
      <c r="K83" s="36"/>
      <c r="L83" s="36"/>
      <c r="M83" s="5"/>
    </row>
    <row r="84" customFormat="false" ht="15.75" hidden="false" customHeight="true" outlineLevel="0" collapsed="false">
      <c r="B84" s="32"/>
      <c r="C84" s="33"/>
      <c r="D84" s="33"/>
      <c r="E84" s="32"/>
      <c r="F84" s="32"/>
      <c r="G84" s="34" t="n">
        <v>0</v>
      </c>
      <c r="H84" s="48" t="str">
        <f aca="false">IF(G84=0,"",G84*0.1)</f>
        <v/>
      </c>
      <c r="I84" s="35" t="str">
        <f aca="false">IF(G84=0,"",G84*1.1)</f>
        <v/>
      </c>
      <c r="J84" s="34" t="n">
        <v>0</v>
      </c>
      <c r="K84" s="32"/>
      <c r="L84" s="32"/>
      <c r="M84" s="13"/>
    </row>
    <row r="85" customFormat="false" ht="15.75" hidden="false" customHeight="true" outlineLevel="0" collapsed="false">
      <c r="B85" s="36"/>
      <c r="C85" s="4"/>
      <c r="D85" s="4"/>
      <c r="E85" s="36"/>
      <c r="F85" s="36"/>
      <c r="G85" s="37" t="n">
        <v>0</v>
      </c>
      <c r="H85" s="49" t="str">
        <f aca="false">IF(G85=0,"",G85*0.1)</f>
        <v/>
      </c>
      <c r="I85" s="35" t="str">
        <f aca="false">IF(G85=0,"",G85*1.1)</f>
        <v/>
      </c>
      <c r="J85" s="37" t="n">
        <v>0</v>
      </c>
      <c r="K85" s="36"/>
      <c r="L85" s="36"/>
      <c r="M85" s="5"/>
    </row>
    <row r="86" customFormat="false" ht="15.75" hidden="false" customHeight="true" outlineLevel="0" collapsed="false">
      <c r="B86" s="32"/>
      <c r="C86" s="33"/>
      <c r="D86" s="33"/>
      <c r="E86" s="32"/>
      <c r="F86" s="32"/>
      <c r="G86" s="34" t="n">
        <v>0</v>
      </c>
      <c r="H86" s="48" t="str">
        <f aca="false">IF(G86=0,"",G86*0.1)</f>
        <v/>
      </c>
      <c r="I86" s="35" t="str">
        <f aca="false">IF(G86=0,"",G86*1.1)</f>
        <v/>
      </c>
      <c r="J86" s="34" t="n">
        <v>0</v>
      </c>
      <c r="K86" s="32"/>
      <c r="L86" s="32"/>
      <c r="M86" s="13"/>
    </row>
    <row r="87" customFormat="false" ht="15.75" hidden="false" customHeight="true" outlineLevel="0" collapsed="false">
      <c r="B87" s="36"/>
      <c r="C87" s="4"/>
      <c r="D87" s="4"/>
      <c r="E87" s="36"/>
      <c r="F87" s="36"/>
      <c r="G87" s="37" t="n">
        <v>0</v>
      </c>
      <c r="H87" s="49" t="str">
        <f aca="false">IF(G87=0,"",G87*0.1)</f>
        <v/>
      </c>
      <c r="I87" s="35" t="str">
        <f aca="false">IF(G87=0,"",G87*1.1)</f>
        <v/>
      </c>
      <c r="J87" s="37" t="n">
        <v>0</v>
      </c>
      <c r="K87" s="36"/>
      <c r="L87" s="36"/>
      <c r="M87" s="5"/>
    </row>
    <row r="88" customFormat="false" ht="15.75" hidden="false" customHeight="true" outlineLevel="0" collapsed="false">
      <c r="B88" s="32"/>
      <c r="C88" s="33"/>
      <c r="D88" s="33"/>
      <c r="E88" s="32"/>
      <c r="F88" s="32"/>
      <c r="G88" s="34" t="n">
        <v>0</v>
      </c>
      <c r="H88" s="48" t="str">
        <f aca="false">IF(G88=0,"",G88*0.1)</f>
        <v/>
      </c>
      <c r="I88" s="35" t="str">
        <f aca="false">IF(G88=0,"",G88*1.1)</f>
        <v/>
      </c>
      <c r="J88" s="34" t="n">
        <v>0</v>
      </c>
      <c r="K88" s="32"/>
      <c r="L88" s="32"/>
      <c r="M88" s="13"/>
    </row>
    <row r="89" customFormat="false" ht="15.75" hidden="false" customHeight="true" outlineLevel="0" collapsed="false">
      <c r="B89" s="36"/>
      <c r="C89" s="4"/>
      <c r="D89" s="4"/>
      <c r="E89" s="36"/>
      <c r="F89" s="36"/>
      <c r="G89" s="37" t="n">
        <v>0</v>
      </c>
      <c r="H89" s="49" t="str">
        <f aca="false">IF(G89=0,"",G89*0.1)</f>
        <v/>
      </c>
      <c r="I89" s="35" t="str">
        <f aca="false">IF(G89=0,"",G89*1.1)</f>
        <v/>
      </c>
      <c r="J89" s="37" t="n">
        <v>0</v>
      </c>
      <c r="K89" s="36"/>
      <c r="L89" s="36"/>
      <c r="M89" s="5"/>
    </row>
    <row r="90" customFormat="false" ht="15.75" hidden="false" customHeight="true" outlineLevel="0" collapsed="false">
      <c r="B90" s="32"/>
      <c r="C90" s="33"/>
      <c r="D90" s="33"/>
      <c r="E90" s="32"/>
      <c r="F90" s="32"/>
      <c r="G90" s="34" t="n">
        <v>0</v>
      </c>
      <c r="H90" s="48" t="str">
        <f aca="false">IF(G90=0,"",G90*0.1)</f>
        <v/>
      </c>
      <c r="I90" s="35" t="str">
        <f aca="false">IF(G90=0,"",G90*1.1)</f>
        <v/>
      </c>
      <c r="J90" s="34" t="n">
        <v>0</v>
      </c>
      <c r="K90" s="32"/>
      <c r="L90" s="32"/>
      <c r="M90" s="13"/>
    </row>
    <row r="91" customFormat="false" ht="15.75" hidden="false" customHeight="true" outlineLevel="0" collapsed="false">
      <c r="B91" s="36"/>
      <c r="C91" s="4"/>
      <c r="D91" s="4"/>
      <c r="E91" s="36"/>
      <c r="F91" s="36"/>
      <c r="G91" s="37" t="n">
        <v>0</v>
      </c>
      <c r="H91" s="49" t="str">
        <f aca="false">IF(G91=0,"",G91*0.1)</f>
        <v/>
      </c>
      <c r="I91" s="35" t="str">
        <f aca="false">IF(G91=0,"",G91*1.1)</f>
        <v/>
      </c>
      <c r="J91" s="37" t="n">
        <v>0</v>
      </c>
      <c r="K91" s="36"/>
      <c r="L91" s="36"/>
      <c r="M91" s="5"/>
    </row>
    <row r="92" customFormat="false" ht="15.75" hidden="false" customHeight="true" outlineLevel="0" collapsed="false">
      <c r="B92" s="32"/>
      <c r="C92" s="33"/>
      <c r="D92" s="33"/>
      <c r="E92" s="32"/>
      <c r="F92" s="32"/>
      <c r="G92" s="34" t="n">
        <v>0</v>
      </c>
      <c r="H92" s="48" t="str">
        <f aca="false">IF(G92=0,"",G92*0.1)</f>
        <v/>
      </c>
      <c r="I92" s="35" t="str">
        <f aca="false">IF(G92=0,"",G92*1.1)</f>
        <v/>
      </c>
      <c r="J92" s="34" t="n">
        <v>0</v>
      </c>
      <c r="K92" s="32"/>
      <c r="L92" s="32"/>
      <c r="M92" s="13"/>
    </row>
    <row r="93" customFormat="false" ht="15.75" hidden="false" customHeight="true" outlineLevel="0" collapsed="false">
      <c r="B93" s="36"/>
      <c r="C93" s="4"/>
      <c r="D93" s="4"/>
      <c r="E93" s="36"/>
      <c r="F93" s="36"/>
      <c r="G93" s="37" t="n">
        <v>0</v>
      </c>
      <c r="H93" s="49" t="str">
        <f aca="false">IF(G93=0,"",G93*0.1)</f>
        <v/>
      </c>
      <c r="I93" s="35" t="str">
        <f aca="false">IF(G93=0,"",G93*1.1)</f>
        <v/>
      </c>
      <c r="J93" s="37" t="n">
        <v>0</v>
      </c>
      <c r="K93" s="36"/>
      <c r="L93" s="36"/>
      <c r="M93" s="5"/>
    </row>
    <row r="94" customFormat="false" ht="15.75" hidden="false" customHeight="true" outlineLevel="0" collapsed="false">
      <c r="B94" s="32"/>
      <c r="C94" s="33"/>
      <c r="D94" s="33"/>
      <c r="E94" s="32"/>
      <c r="F94" s="32"/>
      <c r="G94" s="34" t="n">
        <v>0</v>
      </c>
      <c r="H94" s="48" t="str">
        <f aca="false">IF(G94=0,"",G94*0.1)</f>
        <v/>
      </c>
      <c r="I94" s="35" t="str">
        <f aca="false">IF(G94=0,"",G94*1.1)</f>
        <v/>
      </c>
      <c r="J94" s="34" t="n">
        <v>0</v>
      </c>
      <c r="K94" s="32"/>
      <c r="L94" s="32"/>
      <c r="M94" s="13"/>
    </row>
    <row r="95" customFormat="false" ht="15.75" hidden="false" customHeight="true" outlineLevel="0" collapsed="false">
      <c r="B95" s="36"/>
      <c r="C95" s="4"/>
      <c r="D95" s="4"/>
      <c r="E95" s="36"/>
      <c r="F95" s="36"/>
      <c r="G95" s="37" t="n">
        <v>0</v>
      </c>
      <c r="H95" s="49" t="str">
        <f aca="false">IF(G95=0,"",G95*0.1)</f>
        <v/>
      </c>
      <c r="I95" s="35" t="str">
        <f aca="false">IF(G95=0,"",G95*1.1)</f>
        <v/>
      </c>
      <c r="J95" s="37" t="n">
        <v>0</v>
      </c>
      <c r="K95" s="36"/>
      <c r="L95" s="36"/>
      <c r="M95" s="5"/>
    </row>
    <row r="96" customFormat="false" ht="15.75" hidden="false" customHeight="true" outlineLevel="0" collapsed="false">
      <c r="B96" s="32"/>
      <c r="C96" s="33"/>
      <c r="D96" s="33"/>
      <c r="E96" s="32"/>
      <c r="F96" s="32"/>
      <c r="G96" s="34" t="n">
        <v>0</v>
      </c>
      <c r="H96" s="48" t="str">
        <f aca="false">IF(G96=0,"",G96*0.1)</f>
        <v/>
      </c>
      <c r="I96" s="35" t="str">
        <f aca="false">IF(G96=0,"",G96*1.1)</f>
        <v/>
      </c>
      <c r="J96" s="34" t="n">
        <v>0</v>
      </c>
      <c r="K96" s="32"/>
      <c r="L96" s="32"/>
      <c r="M96" s="13"/>
    </row>
    <row r="97" customFormat="false" ht="15.75" hidden="false" customHeight="true" outlineLevel="0" collapsed="false">
      <c r="B97" s="36"/>
      <c r="C97" s="4"/>
      <c r="D97" s="4"/>
      <c r="E97" s="36"/>
      <c r="F97" s="36"/>
      <c r="G97" s="37" t="n">
        <v>0</v>
      </c>
      <c r="H97" s="49" t="str">
        <f aca="false">IF(G97=0,"",G97*0.1)</f>
        <v/>
      </c>
      <c r="I97" s="35" t="str">
        <f aca="false">IF(G97=0,"",G97*1.1)</f>
        <v/>
      </c>
      <c r="J97" s="37" t="n">
        <v>0</v>
      </c>
      <c r="K97" s="36"/>
      <c r="L97" s="36"/>
      <c r="M97" s="5"/>
    </row>
    <row r="98" customFormat="false" ht="15.75" hidden="false" customHeight="true" outlineLevel="0" collapsed="false">
      <c r="B98" s="32"/>
      <c r="C98" s="33"/>
      <c r="D98" s="33"/>
      <c r="E98" s="32"/>
      <c r="F98" s="32"/>
      <c r="G98" s="34" t="n">
        <v>0</v>
      </c>
      <c r="H98" s="48" t="str">
        <f aca="false">IF(G98=0,"",G98*0.1)</f>
        <v/>
      </c>
      <c r="I98" s="35" t="str">
        <f aca="false">IF(G98=0,"",G98*1.1)</f>
        <v/>
      </c>
      <c r="J98" s="34" t="n">
        <v>0</v>
      </c>
      <c r="K98" s="32"/>
      <c r="L98" s="32"/>
      <c r="M98" s="13"/>
    </row>
    <row r="99" customFormat="false" ht="15.75" hidden="false" customHeight="true" outlineLevel="0" collapsed="false">
      <c r="B99" s="36"/>
      <c r="C99" s="4"/>
      <c r="D99" s="4"/>
      <c r="E99" s="36"/>
      <c r="F99" s="36"/>
      <c r="G99" s="37" t="n">
        <v>0</v>
      </c>
      <c r="H99" s="49" t="str">
        <f aca="false">IF(G99=0,"",G99*0.1)</f>
        <v/>
      </c>
      <c r="I99" s="35" t="str">
        <f aca="false">IF(G99=0,"",G99*1.1)</f>
        <v/>
      </c>
      <c r="J99" s="37" t="n">
        <v>0</v>
      </c>
      <c r="K99" s="36"/>
      <c r="L99" s="36"/>
      <c r="M99" s="5"/>
    </row>
    <row r="100" customFormat="false" ht="15.75" hidden="false" customHeight="true" outlineLevel="0" collapsed="false">
      <c r="B100" s="32"/>
      <c r="C100" s="33"/>
      <c r="D100" s="33"/>
      <c r="E100" s="32"/>
      <c r="F100" s="32"/>
      <c r="G100" s="34" t="n">
        <v>0</v>
      </c>
      <c r="H100" s="48" t="str">
        <f aca="false">IF(G100=0,"",G100*0.1)</f>
        <v/>
      </c>
      <c r="I100" s="35" t="str">
        <f aca="false">IF(G100=0,"",G100*1.1)</f>
        <v/>
      </c>
      <c r="J100" s="34" t="n">
        <v>0</v>
      </c>
      <c r="K100" s="32"/>
      <c r="L100" s="32"/>
      <c r="M100" s="13"/>
    </row>
    <row r="101" customFormat="false" ht="15.75" hidden="false" customHeight="true" outlineLevel="0" collapsed="false">
      <c r="B101" s="36"/>
      <c r="C101" s="4"/>
      <c r="D101" s="4"/>
      <c r="E101" s="36"/>
      <c r="F101" s="36"/>
      <c r="G101" s="37" t="n">
        <v>0</v>
      </c>
      <c r="H101" s="49" t="str">
        <f aca="false">IF(G101=0,"",G101*0.1)</f>
        <v/>
      </c>
      <c r="I101" s="35" t="str">
        <f aca="false">IF(G101=0,"",G101*1.1)</f>
        <v/>
      </c>
      <c r="J101" s="37" t="n">
        <v>0</v>
      </c>
      <c r="K101" s="36"/>
      <c r="L101" s="36"/>
      <c r="M101" s="5"/>
    </row>
    <row r="102" customFormat="false" ht="15.75" hidden="false" customHeight="true" outlineLevel="0" collapsed="false">
      <c r="B102" s="32"/>
      <c r="C102" s="33"/>
      <c r="D102" s="33"/>
      <c r="E102" s="32"/>
      <c r="F102" s="32"/>
      <c r="G102" s="34" t="n">
        <v>0</v>
      </c>
      <c r="H102" s="48" t="str">
        <f aca="false">IF(G102=0,"",G102*0.1)</f>
        <v/>
      </c>
      <c r="I102" s="35" t="str">
        <f aca="false">IF(G102=0,"",G102*1.1)</f>
        <v/>
      </c>
      <c r="J102" s="34" t="n">
        <v>0</v>
      </c>
      <c r="K102" s="32"/>
      <c r="L102" s="32"/>
      <c r="M102" s="13"/>
    </row>
    <row r="103" customFormat="false" ht="15.75" hidden="false" customHeight="true" outlineLevel="0" collapsed="false">
      <c r="B103" s="36"/>
      <c r="C103" s="4"/>
      <c r="D103" s="4"/>
      <c r="E103" s="36"/>
      <c r="F103" s="36"/>
      <c r="G103" s="37" t="n">
        <v>0</v>
      </c>
      <c r="H103" s="49" t="str">
        <f aca="false">IF(G103=0,"",G103*0.1)</f>
        <v/>
      </c>
      <c r="I103" s="35" t="str">
        <f aca="false">IF(G103=0,"",G103*1.1)</f>
        <v/>
      </c>
      <c r="J103" s="37" t="n">
        <v>0</v>
      </c>
      <c r="K103" s="36"/>
      <c r="L103" s="36"/>
      <c r="M103" s="5"/>
    </row>
    <row r="104" customFormat="false" ht="15.75" hidden="false" customHeight="true" outlineLevel="0" collapsed="false">
      <c r="B104" s="32"/>
      <c r="C104" s="33"/>
      <c r="D104" s="33"/>
      <c r="E104" s="32"/>
      <c r="F104" s="32"/>
      <c r="G104" s="34" t="n">
        <v>0</v>
      </c>
      <c r="H104" s="48" t="str">
        <f aca="false">IF(G104=0,"",G104*0.1)</f>
        <v/>
      </c>
      <c r="I104" s="35" t="str">
        <f aca="false">IF(G104=0,"",G104*1.1)</f>
        <v/>
      </c>
      <c r="J104" s="34" t="n">
        <v>0</v>
      </c>
      <c r="K104" s="32"/>
      <c r="L104" s="32"/>
      <c r="M104" s="13"/>
    </row>
    <row r="105" customFormat="false" ht="15.75" hidden="false" customHeight="true" outlineLevel="0" collapsed="false">
      <c r="B105" s="36"/>
      <c r="C105" s="4"/>
      <c r="D105" s="4"/>
      <c r="E105" s="36"/>
      <c r="F105" s="36"/>
      <c r="G105" s="37" t="n">
        <v>0</v>
      </c>
      <c r="H105" s="49" t="str">
        <f aca="false">IF(G105=0,"",G105*0.1)</f>
        <v/>
      </c>
      <c r="I105" s="35" t="str">
        <f aca="false">IF(G105=0,"",G105*1.1)</f>
        <v/>
      </c>
      <c r="J105" s="37" t="n">
        <v>0</v>
      </c>
      <c r="K105" s="36"/>
      <c r="L105" s="36"/>
      <c r="M105" s="5"/>
    </row>
    <row r="106" customFormat="false" ht="15.75" hidden="false" customHeight="true" outlineLevel="0" collapsed="false">
      <c r="B106" s="32"/>
      <c r="C106" s="33"/>
      <c r="D106" s="33"/>
      <c r="E106" s="32"/>
      <c r="F106" s="32"/>
      <c r="G106" s="34" t="n">
        <v>0</v>
      </c>
      <c r="H106" s="48" t="str">
        <f aca="false">IF(G106=0,"",G106*0.1)</f>
        <v/>
      </c>
      <c r="I106" s="35" t="str">
        <f aca="false">IF(G106=0,"",G106*1.1)</f>
        <v/>
      </c>
      <c r="J106" s="34" t="n">
        <v>0</v>
      </c>
      <c r="K106" s="32"/>
      <c r="L106" s="32"/>
      <c r="M106" s="13"/>
    </row>
    <row r="107" customFormat="false" ht="15.75" hidden="false" customHeight="true" outlineLevel="0" collapsed="false">
      <c r="B107" s="36"/>
      <c r="C107" s="4"/>
      <c r="D107" s="4"/>
      <c r="E107" s="36"/>
      <c r="F107" s="36"/>
      <c r="G107" s="37" t="n">
        <v>0</v>
      </c>
      <c r="H107" s="49" t="str">
        <f aca="false">IF(G107=0,"",G107*0.1)</f>
        <v/>
      </c>
      <c r="I107" s="35" t="str">
        <f aca="false">IF(G107=0,"",G107*1.1)</f>
        <v/>
      </c>
      <c r="J107" s="37" t="n">
        <v>0</v>
      </c>
      <c r="K107" s="36"/>
      <c r="L107" s="36"/>
      <c r="M107" s="5"/>
    </row>
    <row r="108" customFormat="false" ht="15.75" hidden="false" customHeight="true" outlineLevel="0" collapsed="false">
      <c r="B108" s="32"/>
      <c r="C108" s="33"/>
      <c r="D108" s="33"/>
      <c r="E108" s="32"/>
      <c r="F108" s="32"/>
      <c r="G108" s="34" t="n">
        <v>0</v>
      </c>
      <c r="H108" s="48" t="str">
        <f aca="false">IF(G108=0,"",G108*0.1)</f>
        <v/>
      </c>
      <c r="I108" s="35" t="str">
        <f aca="false">IF(G108=0,"",G108*1.1)</f>
        <v/>
      </c>
      <c r="J108" s="34" t="n">
        <v>0</v>
      </c>
      <c r="K108" s="32"/>
      <c r="L108" s="32"/>
      <c r="M108" s="13"/>
    </row>
    <row r="109" customFormat="false" ht="15.75" hidden="false" customHeight="true" outlineLevel="0" collapsed="false">
      <c r="B109" s="36"/>
      <c r="C109" s="4"/>
      <c r="D109" s="4"/>
      <c r="E109" s="36"/>
      <c r="F109" s="36"/>
      <c r="G109" s="37" t="n">
        <v>0</v>
      </c>
      <c r="H109" s="49" t="str">
        <f aca="false">IF(G109=0,"",G109*0.1)</f>
        <v/>
      </c>
      <c r="I109" s="35" t="str">
        <f aca="false">IF(G109=0,"",G109*1.1)</f>
        <v/>
      </c>
      <c r="J109" s="37" t="n">
        <v>0</v>
      </c>
      <c r="K109" s="36"/>
      <c r="L109" s="36"/>
      <c r="M109" s="5"/>
    </row>
    <row r="110" customFormat="false" ht="15.75" hidden="false" customHeight="true" outlineLevel="0" collapsed="false">
      <c r="B110" s="32"/>
      <c r="C110" s="33"/>
      <c r="D110" s="33"/>
      <c r="E110" s="32"/>
      <c r="F110" s="32"/>
      <c r="G110" s="34" t="n">
        <v>0</v>
      </c>
      <c r="H110" s="48" t="str">
        <f aca="false">IF(G110=0,"",G110*0.1)</f>
        <v/>
      </c>
      <c r="I110" s="35" t="str">
        <f aca="false">IF(G110=0,"",G110*1.1)</f>
        <v/>
      </c>
      <c r="J110" s="34" t="n">
        <v>0</v>
      </c>
      <c r="K110" s="32"/>
      <c r="L110" s="32"/>
      <c r="M110" s="13"/>
    </row>
    <row r="111" customFormat="false" ht="15.75" hidden="false" customHeight="true" outlineLevel="0" collapsed="false">
      <c r="B111" s="36"/>
      <c r="C111" s="4"/>
      <c r="D111" s="4"/>
      <c r="E111" s="36"/>
      <c r="F111" s="36"/>
      <c r="G111" s="37" t="n">
        <v>0</v>
      </c>
      <c r="H111" s="49" t="str">
        <f aca="false">IF(G111=0,"",G111*0.1)</f>
        <v/>
      </c>
      <c r="I111" s="35" t="str">
        <f aca="false">IF(G111=0,"",G111*1.1)</f>
        <v/>
      </c>
      <c r="J111" s="37" t="n">
        <v>0</v>
      </c>
      <c r="K111" s="36"/>
      <c r="L111" s="36"/>
      <c r="M111" s="5"/>
    </row>
    <row r="112" customFormat="false" ht="15.75" hidden="false" customHeight="true" outlineLevel="0" collapsed="false">
      <c r="B112" s="32"/>
      <c r="C112" s="33"/>
      <c r="D112" s="33"/>
      <c r="E112" s="32"/>
      <c r="F112" s="32"/>
      <c r="G112" s="34" t="n">
        <v>0</v>
      </c>
      <c r="H112" s="48" t="str">
        <f aca="false">IF(G112=0,"",G112*0.1)</f>
        <v/>
      </c>
      <c r="I112" s="35" t="str">
        <f aca="false">IF(G112=0,"",G112*1.1)</f>
        <v/>
      </c>
      <c r="J112" s="34" t="n">
        <v>0</v>
      </c>
      <c r="K112" s="32"/>
      <c r="L112" s="32"/>
      <c r="M112" s="13"/>
    </row>
    <row r="113" customFormat="false" ht="15.75" hidden="false" customHeight="true" outlineLevel="0" collapsed="false">
      <c r="B113" s="36"/>
      <c r="C113" s="4"/>
      <c r="D113" s="4"/>
      <c r="E113" s="36"/>
      <c r="F113" s="36"/>
      <c r="G113" s="37" t="n">
        <v>0</v>
      </c>
      <c r="H113" s="49" t="str">
        <f aca="false">IF(G113=0,"",G113*0.1)</f>
        <v/>
      </c>
      <c r="I113" s="35" t="str">
        <f aca="false">IF(G113=0,"",G113*1.1)</f>
        <v/>
      </c>
      <c r="J113" s="37" t="n">
        <v>0</v>
      </c>
      <c r="K113" s="36"/>
      <c r="L113" s="36"/>
      <c r="M113" s="5"/>
    </row>
    <row r="114" customFormat="false" ht="15.75" hidden="false" customHeight="true" outlineLevel="0" collapsed="false">
      <c r="B114" s="32"/>
      <c r="C114" s="33"/>
      <c r="D114" s="33"/>
      <c r="E114" s="32"/>
      <c r="F114" s="32"/>
      <c r="G114" s="34" t="n">
        <v>0</v>
      </c>
      <c r="H114" s="48" t="str">
        <f aca="false">IF(G114=0,"",G114*0.1)</f>
        <v/>
      </c>
      <c r="I114" s="35" t="str">
        <f aca="false">IF(G114=0,"",G114*1.1)</f>
        <v/>
      </c>
      <c r="J114" s="34" t="n">
        <v>0</v>
      </c>
      <c r="K114" s="32"/>
      <c r="L114" s="32"/>
      <c r="M114" s="13"/>
    </row>
    <row r="115" customFormat="false" ht="15.75" hidden="false" customHeight="true" outlineLevel="0" collapsed="false">
      <c r="B115" s="36"/>
      <c r="C115" s="4"/>
      <c r="D115" s="4"/>
      <c r="E115" s="36"/>
      <c r="F115" s="36"/>
      <c r="G115" s="37" t="n">
        <v>0</v>
      </c>
      <c r="H115" s="49" t="str">
        <f aca="false">IF(G115=0,"",G115*0.1)</f>
        <v/>
      </c>
      <c r="I115" s="35" t="str">
        <f aca="false">IF(G115=0,"",G115*1.1)</f>
        <v/>
      </c>
      <c r="J115" s="37" t="n">
        <v>0</v>
      </c>
      <c r="K115" s="36"/>
      <c r="L115" s="36"/>
      <c r="M115" s="5"/>
    </row>
    <row r="116" customFormat="false" ht="15.75" hidden="false" customHeight="true" outlineLevel="0" collapsed="false">
      <c r="B116" s="32"/>
      <c r="C116" s="33"/>
      <c r="D116" s="33"/>
      <c r="E116" s="32"/>
      <c r="F116" s="32"/>
      <c r="G116" s="34" t="n">
        <v>0</v>
      </c>
      <c r="H116" s="48" t="str">
        <f aca="false">IF(G116=0,"",G116*0.1)</f>
        <v/>
      </c>
      <c r="I116" s="35" t="str">
        <f aca="false">IF(G116=0,"",G116*1.1)</f>
        <v/>
      </c>
      <c r="J116" s="34" t="n">
        <v>0</v>
      </c>
      <c r="K116" s="32"/>
      <c r="L116" s="32"/>
      <c r="M116" s="13"/>
    </row>
    <row r="117" customFormat="false" ht="15.75" hidden="false" customHeight="true" outlineLevel="0" collapsed="false">
      <c r="B117" s="36"/>
      <c r="C117" s="4"/>
      <c r="D117" s="4"/>
      <c r="E117" s="36"/>
      <c r="F117" s="36"/>
      <c r="G117" s="37" t="n">
        <v>0</v>
      </c>
      <c r="H117" s="49" t="str">
        <f aca="false">IF(G117=0,"",G117*0.1)</f>
        <v/>
      </c>
      <c r="I117" s="35" t="str">
        <f aca="false">IF(G117=0,"",G117*1.1)</f>
        <v/>
      </c>
      <c r="J117" s="37" t="n">
        <v>0</v>
      </c>
      <c r="K117" s="36"/>
      <c r="L117" s="36"/>
      <c r="M117" s="5"/>
    </row>
    <row r="118" customFormat="false" ht="15.75" hidden="false" customHeight="true" outlineLevel="0" collapsed="false">
      <c r="B118" s="32"/>
      <c r="C118" s="33"/>
      <c r="D118" s="33"/>
      <c r="E118" s="32"/>
      <c r="F118" s="32"/>
      <c r="G118" s="34" t="n">
        <v>0</v>
      </c>
      <c r="H118" s="48" t="str">
        <f aca="false">IF(G118=0,"",G118*0.1)</f>
        <v/>
      </c>
      <c r="I118" s="35" t="str">
        <f aca="false">IF(G118=0,"",G118*1.1)</f>
        <v/>
      </c>
      <c r="J118" s="34" t="n">
        <v>0</v>
      </c>
      <c r="K118" s="32"/>
      <c r="L118" s="32"/>
      <c r="M118" s="13"/>
    </row>
    <row r="119" customFormat="false" ht="15.75" hidden="false" customHeight="true" outlineLevel="0" collapsed="false">
      <c r="B119" s="36"/>
      <c r="C119" s="4"/>
      <c r="D119" s="4"/>
      <c r="E119" s="36"/>
      <c r="F119" s="36"/>
      <c r="G119" s="37" t="n">
        <v>0</v>
      </c>
      <c r="H119" s="49" t="str">
        <f aca="false">IF(G119=0,"",G119*0.1)</f>
        <v/>
      </c>
      <c r="I119" s="35" t="str">
        <f aca="false">IF(G119=0,"",G119*1.1)</f>
        <v/>
      </c>
      <c r="J119" s="37" t="n">
        <v>0</v>
      </c>
      <c r="K119" s="36"/>
      <c r="L119" s="36"/>
      <c r="M119" s="5"/>
    </row>
    <row r="120" customFormat="false" ht="15.75" hidden="false" customHeight="true" outlineLevel="0" collapsed="false">
      <c r="B120" s="32"/>
      <c r="C120" s="33"/>
      <c r="D120" s="33"/>
      <c r="E120" s="32"/>
      <c r="F120" s="32"/>
      <c r="G120" s="34" t="n">
        <v>0</v>
      </c>
      <c r="H120" s="48" t="str">
        <f aca="false">IF(G120=0,"",G120*0.1)</f>
        <v/>
      </c>
      <c r="I120" s="35" t="str">
        <f aca="false">IF(G120=0,"",G120*1.1)</f>
        <v/>
      </c>
      <c r="J120" s="34" t="n">
        <v>0</v>
      </c>
      <c r="K120" s="32"/>
      <c r="L120" s="32"/>
      <c r="M120" s="13"/>
    </row>
    <row r="121" customFormat="false" ht="15.75" hidden="false" customHeight="true" outlineLevel="0" collapsed="false">
      <c r="B121" s="36"/>
      <c r="C121" s="4"/>
      <c r="D121" s="4"/>
      <c r="E121" s="36"/>
      <c r="F121" s="36"/>
      <c r="G121" s="37" t="n">
        <v>0</v>
      </c>
      <c r="H121" s="49" t="str">
        <f aca="false">IF(G121=0,"",G121*0.1)</f>
        <v/>
      </c>
      <c r="I121" s="35" t="str">
        <f aca="false">IF(G121=0,"",G121*1.1)</f>
        <v/>
      </c>
      <c r="J121" s="37" t="n">
        <v>0</v>
      </c>
      <c r="K121" s="36"/>
      <c r="L121" s="36"/>
      <c r="M121" s="5"/>
    </row>
    <row r="122" customFormat="false" ht="15.75" hidden="false" customHeight="true" outlineLevel="0" collapsed="false">
      <c r="B122" s="32"/>
      <c r="C122" s="33"/>
      <c r="D122" s="33"/>
      <c r="E122" s="32"/>
      <c r="F122" s="32"/>
      <c r="G122" s="34" t="n">
        <v>0</v>
      </c>
      <c r="H122" s="48" t="str">
        <f aca="false">IF(G122=0,"",G122*0.1)</f>
        <v/>
      </c>
      <c r="I122" s="35" t="str">
        <f aca="false">IF(G122=0,"",G122*1.1)</f>
        <v/>
      </c>
      <c r="J122" s="34" t="n">
        <v>0</v>
      </c>
      <c r="K122" s="32"/>
      <c r="L122" s="32"/>
      <c r="M122" s="13"/>
    </row>
    <row r="123" customFormat="false" ht="15.75" hidden="false" customHeight="true" outlineLevel="0" collapsed="false">
      <c r="B123" s="36"/>
      <c r="C123" s="4"/>
      <c r="D123" s="4"/>
      <c r="E123" s="36"/>
      <c r="F123" s="36"/>
      <c r="G123" s="37" t="n">
        <v>0</v>
      </c>
      <c r="H123" s="49" t="str">
        <f aca="false">IF(G123=0,"",G123*0.1)</f>
        <v/>
      </c>
      <c r="I123" s="35" t="str">
        <f aca="false">IF(G123=0,"",G123*1.1)</f>
        <v/>
      </c>
      <c r="J123" s="37" t="n">
        <v>0</v>
      </c>
      <c r="K123" s="36"/>
      <c r="L123" s="36"/>
      <c r="M123" s="5"/>
    </row>
    <row r="124" customFormat="false" ht="15.75" hidden="false" customHeight="true" outlineLevel="0" collapsed="false">
      <c r="B124" s="32"/>
      <c r="C124" s="33"/>
      <c r="D124" s="33"/>
      <c r="E124" s="32"/>
      <c r="F124" s="32"/>
      <c r="G124" s="34" t="n">
        <v>0</v>
      </c>
      <c r="H124" s="48" t="str">
        <f aca="false">IF(G124=0,"",G124*0.1)</f>
        <v/>
      </c>
      <c r="I124" s="35" t="str">
        <f aca="false">IF(G124=0,"",G124*1.1)</f>
        <v/>
      </c>
      <c r="J124" s="34" t="n">
        <v>0</v>
      </c>
      <c r="K124" s="32"/>
      <c r="L124" s="32"/>
      <c r="M124" s="13"/>
    </row>
    <row r="125" customFormat="false" ht="15.75" hidden="false" customHeight="true" outlineLevel="0" collapsed="false">
      <c r="B125" s="36"/>
      <c r="C125" s="4"/>
      <c r="D125" s="4"/>
      <c r="E125" s="36"/>
      <c r="F125" s="36"/>
      <c r="G125" s="37" t="n">
        <v>0</v>
      </c>
      <c r="H125" s="49" t="str">
        <f aca="false">IF(G125=0,"",G125*0.1)</f>
        <v/>
      </c>
      <c r="I125" s="35" t="str">
        <f aca="false">IF(G125=0,"",G125*1.1)</f>
        <v/>
      </c>
      <c r="J125" s="37" t="n">
        <v>0</v>
      </c>
      <c r="K125" s="36"/>
      <c r="L125" s="36"/>
      <c r="M125" s="5"/>
    </row>
    <row r="126" customFormat="false" ht="15.75" hidden="false" customHeight="true" outlineLevel="0" collapsed="false">
      <c r="B126" s="32"/>
      <c r="C126" s="33"/>
      <c r="D126" s="33"/>
      <c r="E126" s="32"/>
      <c r="F126" s="32"/>
      <c r="G126" s="34" t="n">
        <v>0</v>
      </c>
      <c r="H126" s="48" t="str">
        <f aca="false">IF(G126=0,"",G126*0.1)</f>
        <v/>
      </c>
      <c r="I126" s="35" t="str">
        <f aca="false">IF(G126=0,"",G126*1.1)</f>
        <v/>
      </c>
      <c r="J126" s="34" t="n">
        <v>0</v>
      </c>
      <c r="K126" s="32"/>
      <c r="L126" s="32"/>
      <c r="M126" s="13"/>
    </row>
    <row r="127" customFormat="false" ht="15.75" hidden="false" customHeight="true" outlineLevel="0" collapsed="false">
      <c r="B127" s="36"/>
      <c r="C127" s="4"/>
      <c r="D127" s="4"/>
      <c r="E127" s="36"/>
      <c r="F127" s="36"/>
      <c r="G127" s="37" t="n">
        <v>0</v>
      </c>
      <c r="H127" s="49" t="str">
        <f aca="false">IF(G127=0,"",G127*0.1)</f>
        <v/>
      </c>
      <c r="I127" s="35" t="str">
        <f aca="false">IF(G127=0,"",G127*1.1)</f>
        <v/>
      </c>
      <c r="J127" s="37" t="n">
        <v>0</v>
      </c>
      <c r="K127" s="36"/>
      <c r="L127" s="36"/>
      <c r="M127" s="5"/>
    </row>
    <row r="128" customFormat="false" ht="15.75" hidden="false" customHeight="true" outlineLevel="0" collapsed="false">
      <c r="B128" s="32"/>
      <c r="C128" s="33"/>
      <c r="D128" s="33"/>
      <c r="E128" s="32"/>
      <c r="F128" s="32"/>
      <c r="G128" s="34" t="n">
        <v>0</v>
      </c>
      <c r="H128" s="48" t="str">
        <f aca="false">IF(G128=0,"",G128*0.1)</f>
        <v/>
      </c>
      <c r="I128" s="35" t="str">
        <f aca="false">IF(G128=0,"",G128*1.1)</f>
        <v/>
      </c>
      <c r="J128" s="34" t="n">
        <v>0</v>
      </c>
      <c r="K128" s="32"/>
      <c r="L128" s="32"/>
      <c r="M128" s="13"/>
    </row>
    <row r="129" customFormat="false" ht="15.75" hidden="false" customHeight="true" outlineLevel="0" collapsed="false">
      <c r="B129" s="36"/>
      <c r="C129" s="4"/>
      <c r="D129" s="4"/>
      <c r="E129" s="36"/>
      <c r="F129" s="36"/>
      <c r="G129" s="37" t="n">
        <v>0</v>
      </c>
      <c r="H129" s="49" t="str">
        <f aca="false">IF(G129=0,"",G129*0.1)</f>
        <v/>
      </c>
      <c r="I129" s="35" t="str">
        <f aca="false">IF(G129=0,"",G129*1.1)</f>
        <v/>
      </c>
      <c r="J129" s="37" t="n">
        <v>0</v>
      </c>
      <c r="K129" s="36"/>
      <c r="L129" s="36"/>
      <c r="M129" s="5"/>
    </row>
    <row r="130" customFormat="false" ht="15.75" hidden="false" customHeight="true" outlineLevel="0" collapsed="false">
      <c r="B130" s="32"/>
      <c r="C130" s="33"/>
      <c r="D130" s="33"/>
      <c r="E130" s="32"/>
      <c r="F130" s="32"/>
      <c r="G130" s="34" t="n">
        <v>0</v>
      </c>
      <c r="H130" s="48" t="str">
        <f aca="false">IF(G130=0,"",G130*0.1)</f>
        <v/>
      </c>
      <c r="I130" s="35" t="str">
        <f aca="false">IF(G130=0,"",G130*1.1)</f>
        <v/>
      </c>
      <c r="J130" s="34" t="n">
        <v>0</v>
      </c>
      <c r="K130" s="32"/>
      <c r="L130" s="32"/>
      <c r="M130" s="13"/>
    </row>
    <row r="131" customFormat="false" ht="15.75" hidden="false" customHeight="true" outlineLevel="0" collapsed="false">
      <c r="B131" s="36"/>
      <c r="C131" s="4"/>
      <c r="D131" s="4"/>
      <c r="E131" s="36"/>
      <c r="F131" s="36"/>
      <c r="G131" s="37" t="n">
        <v>0</v>
      </c>
      <c r="H131" s="49" t="str">
        <f aca="false">IF(G131=0,"",G131*0.1)</f>
        <v/>
      </c>
      <c r="I131" s="35" t="str">
        <f aca="false">IF(G131=0,"",G131*1.1)</f>
        <v/>
      </c>
      <c r="J131" s="37" t="n">
        <v>0</v>
      </c>
      <c r="K131" s="36"/>
      <c r="L131" s="36"/>
      <c r="M131" s="5"/>
    </row>
    <row r="132" customFormat="false" ht="15.75" hidden="false" customHeight="true" outlineLevel="0" collapsed="false">
      <c r="B132" s="32"/>
      <c r="C132" s="33"/>
      <c r="D132" s="33"/>
      <c r="E132" s="32"/>
      <c r="F132" s="32"/>
      <c r="G132" s="34" t="n">
        <v>0</v>
      </c>
      <c r="H132" s="48" t="str">
        <f aca="false">IF(G132=0,"",G132*0.1)</f>
        <v/>
      </c>
      <c r="I132" s="35" t="str">
        <f aca="false">IF(G132=0,"",G132*1.1)</f>
        <v/>
      </c>
      <c r="J132" s="34" t="n">
        <v>0</v>
      </c>
      <c r="K132" s="32"/>
      <c r="L132" s="32"/>
      <c r="M132" s="13"/>
    </row>
    <row r="133" customFormat="false" ht="15.75" hidden="false" customHeight="true" outlineLevel="0" collapsed="false">
      <c r="B133" s="36"/>
      <c r="C133" s="4"/>
      <c r="D133" s="4"/>
      <c r="E133" s="36"/>
      <c r="F133" s="36"/>
      <c r="G133" s="37" t="n">
        <v>0</v>
      </c>
      <c r="H133" s="49" t="str">
        <f aca="false">IF(G133=0,"",G133*0.1)</f>
        <v/>
      </c>
      <c r="I133" s="35" t="str">
        <f aca="false">IF(G133=0,"",G133*1.1)</f>
        <v/>
      </c>
      <c r="J133" s="37" t="n">
        <v>0</v>
      </c>
      <c r="K133" s="36"/>
      <c r="L133" s="36"/>
      <c r="M133" s="5"/>
    </row>
    <row r="134" customFormat="false" ht="15.75" hidden="false" customHeight="true" outlineLevel="0" collapsed="false">
      <c r="B134" s="32"/>
      <c r="C134" s="33"/>
      <c r="D134" s="33"/>
      <c r="E134" s="32"/>
      <c r="F134" s="32"/>
      <c r="G134" s="34" t="n">
        <v>0</v>
      </c>
      <c r="H134" s="48" t="str">
        <f aca="false">IF(G134=0,"",G134*0.1)</f>
        <v/>
      </c>
      <c r="I134" s="35" t="str">
        <f aca="false">IF(G134=0,"",G134*1.1)</f>
        <v/>
      </c>
      <c r="J134" s="34" t="n">
        <v>0</v>
      </c>
      <c r="K134" s="32"/>
      <c r="L134" s="32"/>
      <c r="M134" s="13"/>
    </row>
    <row r="135" customFormat="false" ht="15.75" hidden="false" customHeight="true" outlineLevel="0" collapsed="false">
      <c r="B135" s="36"/>
      <c r="C135" s="4"/>
      <c r="D135" s="4"/>
      <c r="E135" s="36"/>
      <c r="F135" s="36"/>
      <c r="G135" s="37" t="n">
        <v>0</v>
      </c>
      <c r="H135" s="49" t="str">
        <f aca="false">IF(G135=0,"",G135*0.1)</f>
        <v/>
      </c>
      <c r="I135" s="35" t="str">
        <f aca="false">IF(G135=0,"",G135*1.1)</f>
        <v/>
      </c>
      <c r="J135" s="37" t="n">
        <v>0</v>
      </c>
      <c r="K135" s="36"/>
      <c r="L135" s="36"/>
      <c r="M135" s="5"/>
    </row>
    <row r="136" customFormat="false" ht="15.75" hidden="false" customHeight="true" outlineLevel="0" collapsed="false">
      <c r="B136" s="32"/>
      <c r="C136" s="33"/>
      <c r="D136" s="33"/>
      <c r="E136" s="32"/>
      <c r="F136" s="32"/>
      <c r="G136" s="34" t="n">
        <v>0</v>
      </c>
      <c r="H136" s="48" t="str">
        <f aca="false">IF(G136=0,"",G136*0.1)</f>
        <v/>
      </c>
      <c r="I136" s="35" t="str">
        <f aca="false">IF(G136=0,"",G136*1.1)</f>
        <v/>
      </c>
      <c r="J136" s="34" t="n">
        <v>0</v>
      </c>
      <c r="K136" s="32"/>
      <c r="L136" s="32"/>
      <c r="M136" s="13"/>
    </row>
    <row r="137" customFormat="false" ht="15.75" hidden="false" customHeight="true" outlineLevel="0" collapsed="false">
      <c r="B137" s="36"/>
      <c r="C137" s="4"/>
      <c r="D137" s="4"/>
      <c r="E137" s="36"/>
      <c r="F137" s="36"/>
      <c r="G137" s="37" t="n">
        <v>0</v>
      </c>
      <c r="H137" s="49" t="str">
        <f aca="false">IF(G137=0,"",G137*0.1)</f>
        <v/>
      </c>
      <c r="I137" s="35" t="str">
        <f aca="false">IF(G137=0,"",G137*1.1)</f>
        <v/>
      </c>
      <c r="J137" s="37" t="n">
        <v>0</v>
      </c>
      <c r="K137" s="36"/>
      <c r="L137" s="36"/>
      <c r="M137" s="5"/>
    </row>
    <row r="138" customFormat="false" ht="15.75" hidden="false" customHeight="true" outlineLevel="0" collapsed="false">
      <c r="B138" s="32"/>
      <c r="C138" s="33"/>
      <c r="D138" s="33"/>
      <c r="E138" s="32"/>
      <c r="F138" s="32"/>
      <c r="G138" s="34" t="n">
        <v>0</v>
      </c>
      <c r="H138" s="48" t="str">
        <f aca="false">IF(G138=0,"",G138*0.1)</f>
        <v/>
      </c>
      <c r="I138" s="35" t="str">
        <f aca="false">IF(G138=0,"",G138*1.1)</f>
        <v/>
      </c>
      <c r="J138" s="34" t="n">
        <v>0</v>
      </c>
      <c r="K138" s="32"/>
      <c r="L138" s="32"/>
      <c r="M138" s="13"/>
    </row>
    <row r="139" customFormat="false" ht="15.75" hidden="false" customHeight="true" outlineLevel="0" collapsed="false">
      <c r="B139" s="36"/>
      <c r="C139" s="4"/>
      <c r="D139" s="4"/>
      <c r="E139" s="36"/>
      <c r="F139" s="36"/>
      <c r="G139" s="37" t="n">
        <v>0</v>
      </c>
      <c r="H139" s="49" t="str">
        <f aca="false">IF(G139=0,"",G139*0.1)</f>
        <v/>
      </c>
      <c r="I139" s="35" t="str">
        <f aca="false">IF(G139=0,"",G139*1.1)</f>
        <v/>
      </c>
      <c r="J139" s="37" t="n">
        <v>0</v>
      </c>
      <c r="K139" s="36"/>
      <c r="L139" s="36"/>
      <c r="M139" s="5"/>
    </row>
    <row r="140" customFormat="false" ht="15.75" hidden="false" customHeight="true" outlineLevel="0" collapsed="false">
      <c r="B140" s="32"/>
      <c r="C140" s="33"/>
      <c r="D140" s="33"/>
      <c r="E140" s="32"/>
      <c r="F140" s="32"/>
      <c r="G140" s="34" t="n">
        <v>0</v>
      </c>
      <c r="H140" s="48" t="str">
        <f aca="false">IF(G140=0,"",G140*0.1)</f>
        <v/>
      </c>
      <c r="I140" s="35" t="str">
        <f aca="false">IF(G140=0,"",G140*1.1)</f>
        <v/>
      </c>
      <c r="J140" s="34" t="n">
        <v>0</v>
      </c>
      <c r="K140" s="32"/>
      <c r="L140" s="32"/>
      <c r="M140" s="13"/>
    </row>
    <row r="141" customFormat="false" ht="15.75" hidden="false" customHeight="true" outlineLevel="0" collapsed="false">
      <c r="B141" s="36"/>
      <c r="C141" s="4"/>
      <c r="D141" s="4"/>
      <c r="E141" s="36"/>
      <c r="F141" s="36"/>
      <c r="G141" s="37" t="n">
        <v>0</v>
      </c>
      <c r="H141" s="49" t="str">
        <f aca="false">IF(G141=0,"",G141*0.1)</f>
        <v/>
      </c>
      <c r="I141" s="35" t="str">
        <f aca="false">IF(G141=0,"",G141*1.1)</f>
        <v/>
      </c>
      <c r="J141" s="37" t="n">
        <v>0</v>
      </c>
      <c r="K141" s="36"/>
      <c r="L141" s="36"/>
      <c r="M141" s="5"/>
    </row>
    <row r="142" customFormat="false" ht="15.75" hidden="false" customHeight="true" outlineLevel="0" collapsed="false">
      <c r="B142" s="32"/>
      <c r="C142" s="33"/>
      <c r="D142" s="33"/>
      <c r="E142" s="32"/>
      <c r="F142" s="32"/>
      <c r="G142" s="34" t="n">
        <v>0</v>
      </c>
      <c r="H142" s="48" t="str">
        <f aca="false">IF(G142=0,"",G142*0.1)</f>
        <v/>
      </c>
      <c r="I142" s="35" t="str">
        <f aca="false">IF(G142=0,"",G142*1.1)</f>
        <v/>
      </c>
      <c r="J142" s="34" t="n">
        <v>0</v>
      </c>
      <c r="K142" s="32"/>
      <c r="L142" s="32"/>
      <c r="M142" s="13"/>
    </row>
    <row r="143" customFormat="false" ht="15.75" hidden="false" customHeight="true" outlineLevel="0" collapsed="false">
      <c r="B143" s="36"/>
      <c r="C143" s="4"/>
      <c r="D143" s="4"/>
      <c r="E143" s="36"/>
      <c r="F143" s="36"/>
      <c r="G143" s="37" t="n">
        <v>0</v>
      </c>
      <c r="H143" s="49" t="str">
        <f aca="false">IF(G143=0,"",G143*0.1)</f>
        <v/>
      </c>
      <c r="I143" s="35" t="str">
        <f aca="false">IF(G143=0,"",G143*1.1)</f>
        <v/>
      </c>
      <c r="J143" s="37" t="n">
        <v>0</v>
      </c>
      <c r="K143" s="36"/>
      <c r="L143" s="36"/>
      <c r="M143" s="5"/>
    </row>
    <row r="144" customFormat="false" ht="15.75" hidden="false" customHeight="true" outlineLevel="0" collapsed="false">
      <c r="B144" s="32"/>
      <c r="C144" s="33"/>
      <c r="D144" s="33"/>
      <c r="E144" s="32"/>
      <c r="F144" s="32"/>
      <c r="G144" s="34" t="n">
        <v>0</v>
      </c>
      <c r="H144" s="48" t="str">
        <f aca="false">IF(G144=0,"",G144*0.1)</f>
        <v/>
      </c>
      <c r="I144" s="35" t="str">
        <f aca="false">IF(G144=0,"",G144*1.1)</f>
        <v/>
      </c>
      <c r="J144" s="34" t="n">
        <v>0</v>
      </c>
      <c r="K144" s="32"/>
      <c r="L144" s="32"/>
      <c r="M144" s="13"/>
    </row>
    <row r="145" customFormat="false" ht="15.75" hidden="false" customHeight="true" outlineLevel="0" collapsed="false">
      <c r="B145" s="36"/>
      <c r="C145" s="4"/>
      <c r="D145" s="4"/>
      <c r="E145" s="36"/>
      <c r="F145" s="36"/>
      <c r="G145" s="37" t="n">
        <v>0</v>
      </c>
      <c r="H145" s="49" t="str">
        <f aca="false">IF(G145=0,"",G145*0.1)</f>
        <v/>
      </c>
      <c r="I145" s="35" t="str">
        <f aca="false">IF(G145=0,"",G145*1.1)</f>
        <v/>
      </c>
      <c r="J145" s="37" t="n">
        <v>0</v>
      </c>
      <c r="K145" s="36"/>
      <c r="L145" s="36"/>
      <c r="M145" s="5"/>
    </row>
    <row r="146" customFormat="false" ht="15.75" hidden="false" customHeight="true" outlineLevel="0" collapsed="false">
      <c r="B146" s="32"/>
      <c r="C146" s="33"/>
      <c r="D146" s="33"/>
      <c r="E146" s="32"/>
      <c r="F146" s="32"/>
      <c r="G146" s="34" t="n">
        <v>0</v>
      </c>
      <c r="H146" s="48" t="str">
        <f aca="false">IF(G146=0,"",G146*0.1)</f>
        <v/>
      </c>
      <c r="I146" s="35" t="str">
        <f aca="false">IF(G146=0,"",G146*1.1)</f>
        <v/>
      </c>
      <c r="J146" s="34" t="n">
        <v>0</v>
      </c>
      <c r="K146" s="32"/>
      <c r="L146" s="32"/>
      <c r="M146" s="13"/>
    </row>
    <row r="147" customFormat="false" ht="15.75" hidden="false" customHeight="true" outlineLevel="0" collapsed="false">
      <c r="B147" s="36"/>
      <c r="C147" s="4"/>
      <c r="D147" s="4"/>
      <c r="E147" s="36"/>
      <c r="F147" s="36"/>
      <c r="G147" s="37" t="n">
        <v>0</v>
      </c>
      <c r="H147" s="49" t="str">
        <f aca="false">IF(G147=0,"",G147*0.1)</f>
        <v/>
      </c>
      <c r="I147" s="35" t="str">
        <f aca="false">IF(G147=0,"",G147*1.1)</f>
        <v/>
      </c>
      <c r="J147" s="37" t="n">
        <v>0</v>
      </c>
      <c r="K147" s="36"/>
      <c r="L147" s="36"/>
      <c r="M147" s="5"/>
    </row>
    <row r="148" customFormat="false" ht="15.75" hidden="false" customHeight="true" outlineLevel="0" collapsed="false">
      <c r="B148" s="32"/>
      <c r="C148" s="33"/>
      <c r="D148" s="33"/>
      <c r="E148" s="32"/>
      <c r="F148" s="32"/>
      <c r="G148" s="34" t="n">
        <v>0</v>
      </c>
      <c r="H148" s="48" t="str">
        <f aca="false">IF(G148=0,"",G148*0.1)</f>
        <v/>
      </c>
      <c r="I148" s="35" t="str">
        <f aca="false">IF(G148=0,"",G148*1.1)</f>
        <v/>
      </c>
      <c r="J148" s="34" t="n">
        <v>0</v>
      </c>
      <c r="K148" s="32"/>
      <c r="L148" s="32"/>
      <c r="M148" s="13"/>
    </row>
    <row r="149" customFormat="false" ht="15.75" hidden="false" customHeight="true" outlineLevel="0" collapsed="false">
      <c r="B149" s="36"/>
      <c r="C149" s="4"/>
      <c r="D149" s="4"/>
      <c r="E149" s="36"/>
      <c r="F149" s="36"/>
      <c r="G149" s="37" t="n">
        <v>0</v>
      </c>
      <c r="H149" s="49" t="str">
        <f aca="false">IF(G149=0,"",G149*0.1)</f>
        <v/>
      </c>
      <c r="I149" s="35" t="str">
        <f aca="false">IF(G149=0,"",G149*1.1)</f>
        <v/>
      </c>
      <c r="J149" s="37" t="n">
        <v>0</v>
      </c>
      <c r="K149" s="36"/>
      <c r="L149" s="36"/>
      <c r="M149" s="5"/>
    </row>
    <row r="150" customFormat="false" ht="15.75" hidden="false" customHeight="true" outlineLevel="0" collapsed="false">
      <c r="B150" s="32"/>
      <c r="C150" s="33"/>
      <c r="D150" s="33"/>
      <c r="E150" s="32"/>
      <c r="F150" s="32"/>
      <c r="G150" s="34" t="n">
        <v>0</v>
      </c>
      <c r="H150" s="48" t="str">
        <f aca="false">IF(G150=0,"",G150*0.1)</f>
        <v/>
      </c>
      <c r="I150" s="35" t="str">
        <f aca="false">IF(G150=0,"",G150*1.1)</f>
        <v/>
      </c>
      <c r="J150" s="34" t="n">
        <v>0</v>
      </c>
      <c r="K150" s="32"/>
      <c r="L150" s="32"/>
      <c r="M150" s="13"/>
    </row>
    <row r="151" customFormat="false" ht="15.75" hidden="false" customHeight="true" outlineLevel="0" collapsed="false">
      <c r="B151" s="36"/>
      <c r="C151" s="4"/>
      <c r="D151" s="4"/>
      <c r="E151" s="36"/>
      <c r="F151" s="36"/>
      <c r="G151" s="37" t="n">
        <v>0</v>
      </c>
      <c r="H151" s="49" t="str">
        <f aca="false">IF(G151=0,"",G151*0.1)</f>
        <v/>
      </c>
      <c r="I151" s="35" t="str">
        <f aca="false">IF(G151=0,"",G151*1.1)</f>
        <v/>
      </c>
      <c r="J151" s="37" t="n">
        <v>0</v>
      </c>
      <c r="K151" s="36"/>
      <c r="L151" s="36"/>
      <c r="M151" s="5"/>
    </row>
    <row r="152" customFormat="false" ht="15.75" hidden="false" customHeight="true" outlineLevel="0" collapsed="false">
      <c r="B152" s="32"/>
      <c r="C152" s="33"/>
      <c r="D152" s="33"/>
      <c r="E152" s="32"/>
      <c r="F152" s="32"/>
      <c r="G152" s="34" t="n">
        <v>0</v>
      </c>
      <c r="H152" s="48" t="str">
        <f aca="false">IF(G152=0,"",G152*0.1)</f>
        <v/>
      </c>
      <c r="I152" s="35" t="str">
        <f aca="false">IF(G152=0,"",G152*1.1)</f>
        <v/>
      </c>
      <c r="J152" s="34" t="n">
        <v>0</v>
      </c>
      <c r="K152" s="32"/>
      <c r="L152" s="32"/>
      <c r="M152" s="13"/>
    </row>
    <row r="153" customFormat="false" ht="15.75" hidden="false" customHeight="true" outlineLevel="0" collapsed="false">
      <c r="B153" s="36"/>
      <c r="C153" s="4"/>
      <c r="D153" s="4"/>
      <c r="E153" s="36"/>
      <c r="F153" s="36"/>
      <c r="G153" s="37" t="n">
        <v>0</v>
      </c>
      <c r="H153" s="49" t="str">
        <f aca="false">IF(G153=0,"",G153*0.1)</f>
        <v/>
      </c>
      <c r="I153" s="35" t="str">
        <f aca="false">IF(G153=0,"",G153*1.1)</f>
        <v/>
      </c>
      <c r="J153" s="37" t="n">
        <v>0</v>
      </c>
      <c r="K153" s="36"/>
      <c r="L153" s="36"/>
      <c r="M153" s="5"/>
    </row>
    <row r="154" customFormat="false" ht="15.75" hidden="false" customHeight="true" outlineLevel="0" collapsed="false">
      <c r="B154" s="32"/>
      <c r="C154" s="33"/>
      <c r="D154" s="33"/>
      <c r="E154" s="32"/>
      <c r="F154" s="32"/>
      <c r="G154" s="34" t="n">
        <v>0</v>
      </c>
      <c r="H154" s="48" t="str">
        <f aca="false">IF(G154=0,"",G154*0.1)</f>
        <v/>
      </c>
      <c r="I154" s="35" t="str">
        <f aca="false">IF(G154=0,"",G154*1.1)</f>
        <v/>
      </c>
      <c r="J154" s="34" t="n">
        <v>0</v>
      </c>
      <c r="K154" s="32"/>
      <c r="L154" s="32"/>
      <c r="M154" s="13"/>
    </row>
    <row r="155" customFormat="false" ht="15.75" hidden="false" customHeight="true" outlineLevel="0" collapsed="false">
      <c r="B155" s="36"/>
      <c r="C155" s="4"/>
      <c r="D155" s="4"/>
      <c r="E155" s="36"/>
      <c r="F155" s="36"/>
      <c r="G155" s="37" t="n">
        <v>0</v>
      </c>
      <c r="H155" s="49" t="str">
        <f aca="false">IF(G155=0,"",G155*0.1)</f>
        <v/>
      </c>
      <c r="I155" s="35" t="str">
        <f aca="false">IF(G155=0,"",G155*1.1)</f>
        <v/>
      </c>
      <c r="J155" s="37" t="n">
        <v>0</v>
      </c>
      <c r="K155" s="36"/>
      <c r="L155" s="36"/>
      <c r="M155" s="5"/>
    </row>
    <row r="156" customFormat="false" ht="15.75" hidden="false" customHeight="true" outlineLevel="0" collapsed="false">
      <c r="B156" s="32"/>
      <c r="C156" s="33"/>
      <c r="D156" s="33"/>
      <c r="E156" s="32"/>
      <c r="F156" s="32"/>
      <c r="G156" s="34" t="n">
        <v>0</v>
      </c>
      <c r="H156" s="48" t="str">
        <f aca="false">IF(G156=0,"",G156*0.1)</f>
        <v/>
      </c>
      <c r="I156" s="35" t="str">
        <f aca="false">IF(G156=0,"",G156*1.1)</f>
        <v/>
      </c>
      <c r="J156" s="34" t="n">
        <v>0</v>
      </c>
      <c r="K156" s="32"/>
      <c r="L156" s="32"/>
      <c r="M156" s="13"/>
    </row>
    <row r="157" customFormat="false" ht="15.75" hidden="false" customHeight="true" outlineLevel="0" collapsed="false">
      <c r="B157" s="36"/>
      <c r="C157" s="4"/>
      <c r="D157" s="4"/>
      <c r="E157" s="36"/>
      <c r="F157" s="36"/>
      <c r="G157" s="37" t="n">
        <v>0</v>
      </c>
      <c r="H157" s="49" t="str">
        <f aca="false">IF(G157=0,"",G157*0.1)</f>
        <v/>
      </c>
      <c r="I157" s="35" t="str">
        <f aca="false">IF(G157=0,"",G157*1.1)</f>
        <v/>
      </c>
      <c r="J157" s="37" t="n">
        <v>0</v>
      </c>
      <c r="K157" s="36"/>
      <c r="L157" s="36"/>
      <c r="M157" s="5"/>
    </row>
    <row r="158" customFormat="false" ht="15.75" hidden="false" customHeight="true" outlineLevel="0" collapsed="false">
      <c r="B158" s="32"/>
      <c r="C158" s="33"/>
      <c r="D158" s="33"/>
      <c r="E158" s="32"/>
      <c r="F158" s="32"/>
      <c r="G158" s="34" t="n">
        <v>0</v>
      </c>
      <c r="H158" s="48" t="str">
        <f aca="false">IF(G158=0,"",G158*0.1)</f>
        <v/>
      </c>
      <c r="I158" s="35" t="str">
        <f aca="false">IF(G158=0,"",G158*1.1)</f>
        <v/>
      </c>
      <c r="J158" s="34" t="n">
        <v>0</v>
      </c>
      <c r="K158" s="32"/>
      <c r="L158" s="32"/>
      <c r="M158" s="13"/>
    </row>
    <row r="159" customFormat="false" ht="15.75" hidden="false" customHeight="true" outlineLevel="0" collapsed="false">
      <c r="B159" s="36"/>
      <c r="C159" s="4"/>
      <c r="D159" s="4"/>
      <c r="E159" s="36"/>
      <c r="F159" s="36"/>
      <c r="G159" s="37" t="n">
        <v>0</v>
      </c>
      <c r="H159" s="49" t="str">
        <f aca="false">IF(G159=0,"",G159*0.1)</f>
        <v/>
      </c>
      <c r="I159" s="35" t="str">
        <f aca="false">IF(G159=0,"",G159*1.1)</f>
        <v/>
      </c>
      <c r="J159" s="37" t="n">
        <v>0</v>
      </c>
      <c r="K159" s="36"/>
      <c r="L159" s="36"/>
      <c r="M159" s="5"/>
    </row>
    <row r="160" customFormat="false" ht="15.75" hidden="false" customHeight="true" outlineLevel="0" collapsed="false">
      <c r="B160" s="32"/>
      <c r="C160" s="33"/>
      <c r="D160" s="33"/>
      <c r="E160" s="32"/>
      <c r="F160" s="32"/>
      <c r="G160" s="34" t="n">
        <v>0</v>
      </c>
      <c r="H160" s="48" t="str">
        <f aca="false">IF(G160=0,"",G160*0.1)</f>
        <v/>
      </c>
      <c r="I160" s="35" t="str">
        <f aca="false">IF(G160=0,"",G160*1.1)</f>
        <v/>
      </c>
      <c r="J160" s="34" t="n">
        <v>0</v>
      </c>
      <c r="K160" s="32"/>
      <c r="L160" s="32"/>
      <c r="M160" s="13"/>
    </row>
    <row r="161" customFormat="false" ht="15.75" hidden="false" customHeight="true" outlineLevel="0" collapsed="false">
      <c r="B161" s="36"/>
      <c r="C161" s="4"/>
      <c r="D161" s="4"/>
      <c r="E161" s="36"/>
      <c r="F161" s="36"/>
      <c r="G161" s="37" t="n">
        <v>0</v>
      </c>
      <c r="H161" s="49" t="str">
        <f aca="false">IF(G161=0,"",G161*0.1)</f>
        <v/>
      </c>
      <c r="I161" s="35" t="str">
        <f aca="false">IF(G161=0,"",G161*1.1)</f>
        <v/>
      </c>
      <c r="J161" s="37" t="n">
        <v>0</v>
      </c>
      <c r="K161" s="36"/>
      <c r="L161" s="36"/>
      <c r="M161" s="5"/>
    </row>
    <row r="162" customFormat="false" ht="15.75" hidden="false" customHeight="true" outlineLevel="0" collapsed="false">
      <c r="B162" s="32"/>
      <c r="C162" s="33"/>
      <c r="D162" s="33"/>
      <c r="E162" s="32"/>
      <c r="F162" s="32"/>
      <c r="G162" s="34" t="n">
        <v>0</v>
      </c>
      <c r="H162" s="48" t="str">
        <f aca="false">IF(G162=0,"",G162*0.1)</f>
        <v/>
      </c>
      <c r="I162" s="35" t="str">
        <f aca="false">IF(G162=0,"",G162*1.1)</f>
        <v/>
      </c>
      <c r="J162" s="34" t="n">
        <v>0</v>
      </c>
      <c r="K162" s="32"/>
      <c r="L162" s="32"/>
      <c r="M162" s="13"/>
    </row>
    <row r="163" customFormat="false" ht="15.75" hidden="false" customHeight="true" outlineLevel="0" collapsed="false">
      <c r="B163" s="36"/>
      <c r="C163" s="4"/>
      <c r="D163" s="4"/>
      <c r="E163" s="36"/>
      <c r="F163" s="36"/>
      <c r="G163" s="37" t="n">
        <v>0</v>
      </c>
      <c r="H163" s="49" t="str">
        <f aca="false">IF(G163=0,"",G163*0.1)</f>
        <v/>
      </c>
      <c r="I163" s="35" t="str">
        <f aca="false">IF(G163=0,"",G163*1.1)</f>
        <v/>
      </c>
      <c r="J163" s="37" t="n">
        <v>0</v>
      </c>
      <c r="K163" s="36"/>
      <c r="L163" s="36"/>
      <c r="M163" s="5"/>
    </row>
    <row r="164" customFormat="false" ht="15.75" hidden="false" customHeight="true" outlineLevel="0" collapsed="false">
      <c r="B164" s="32"/>
      <c r="C164" s="33"/>
      <c r="D164" s="33"/>
      <c r="E164" s="32"/>
      <c r="F164" s="32"/>
      <c r="G164" s="34" t="n">
        <v>0</v>
      </c>
      <c r="H164" s="48" t="str">
        <f aca="false">IF(G164=0,"",G164*0.1)</f>
        <v/>
      </c>
      <c r="I164" s="35" t="str">
        <f aca="false">IF(G164=0,"",G164*1.1)</f>
        <v/>
      </c>
      <c r="J164" s="34" t="n">
        <v>0</v>
      </c>
      <c r="K164" s="32"/>
      <c r="L164" s="32"/>
      <c r="M164" s="13"/>
    </row>
    <row r="165" customFormat="false" ht="15.75" hidden="false" customHeight="true" outlineLevel="0" collapsed="false">
      <c r="B165" s="36"/>
      <c r="C165" s="4"/>
      <c r="D165" s="4"/>
      <c r="E165" s="36"/>
      <c r="F165" s="36"/>
      <c r="G165" s="37" t="n">
        <v>0</v>
      </c>
      <c r="H165" s="49" t="str">
        <f aca="false">IF(G165=0,"",G165*0.1)</f>
        <v/>
      </c>
      <c r="I165" s="35" t="str">
        <f aca="false">IF(G165=0,"",G165*1.1)</f>
        <v/>
      </c>
      <c r="J165" s="37" t="n">
        <v>0</v>
      </c>
      <c r="K165" s="36"/>
      <c r="L165" s="36"/>
      <c r="M165" s="5"/>
    </row>
    <row r="166" customFormat="false" ht="15.75" hidden="false" customHeight="true" outlineLevel="0" collapsed="false">
      <c r="B166" s="32"/>
      <c r="C166" s="33"/>
      <c r="D166" s="33"/>
      <c r="E166" s="32"/>
      <c r="F166" s="32"/>
      <c r="G166" s="34" t="n">
        <v>0</v>
      </c>
      <c r="H166" s="48" t="str">
        <f aca="false">IF(G166=0,"",G166*0.1)</f>
        <v/>
      </c>
      <c r="I166" s="35" t="str">
        <f aca="false">IF(G166=0,"",G166*1.1)</f>
        <v/>
      </c>
      <c r="J166" s="34" t="n">
        <v>0</v>
      </c>
      <c r="K166" s="32"/>
      <c r="L166" s="32"/>
      <c r="M166" s="13"/>
    </row>
    <row r="167" customFormat="false" ht="15.75" hidden="false" customHeight="true" outlineLevel="0" collapsed="false">
      <c r="B167" s="36"/>
      <c r="C167" s="4"/>
      <c r="D167" s="4"/>
      <c r="E167" s="36"/>
      <c r="F167" s="36"/>
      <c r="G167" s="37" t="n">
        <v>0</v>
      </c>
      <c r="H167" s="49" t="str">
        <f aca="false">IF(G167=0,"",G167*0.1)</f>
        <v/>
      </c>
      <c r="I167" s="35" t="str">
        <f aca="false">IF(G167=0,"",G167*1.1)</f>
        <v/>
      </c>
      <c r="J167" s="37" t="n">
        <v>0</v>
      </c>
      <c r="K167" s="36"/>
      <c r="L167" s="36"/>
      <c r="M167" s="5"/>
    </row>
    <row r="168" customFormat="false" ht="15.75" hidden="false" customHeight="true" outlineLevel="0" collapsed="false">
      <c r="B168" s="32"/>
      <c r="C168" s="33"/>
      <c r="D168" s="33"/>
      <c r="E168" s="32"/>
      <c r="F168" s="32"/>
      <c r="G168" s="34" t="n">
        <v>0</v>
      </c>
      <c r="H168" s="48" t="str">
        <f aca="false">IF(G168=0,"",G168*0.1)</f>
        <v/>
      </c>
      <c r="I168" s="35" t="str">
        <f aca="false">IF(G168=0,"",G168*1.1)</f>
        <v/>
      </c>
      <c r="J168" s="34" t="n">
        <v>0</v>
      </c>
      <c r="K168" s="32"/>
      <c r="L168" s="32"/>
      <c r="M168" s="13"/>
    </row>
    <row r="169" customFormat="false" ht="15.75" hidden="false" customHeight="true" outlineLevel="0" collapsed="false">
      <c r="B169" s="36"/>
      <c r="C169" s="4"/>
      <c r="D169" s="4"/>
      <c r="E169" s="36"/>
      <c r="F169" s="36"/>
      <c r="G169" s="37" t="n">
        <v>0</v>
      </c>
      <c r="H169" s="49" t="str">
        <f aca="false">IF(G169=0,"",G169*0.1)</f>
        <v/>
      </c>
      <c r="I169" s="35" t="str">
        <f aca="false">IF(G169=0,"",G169*1.1)</f>
        <v/>
      </c>
      <c r="J169" s="37" t="n">
        <v>0</v>
      </c>
      <c r="K169" s="36"/>
      <c r="L169" s="36"/>
      <c r="M169" s="5"/>
    </row>
    <row r="170" customFormat="false" ht="15.75" hidden="false" customHeight="true" outlineLevel="0" collapsed="false">
      <c r="B170" s="32"/>
      <c r="C170" s="33"/>
      <c r="D170" s="33"/>
      <c r="E170" s="32"/>
      <c r="F170" s="32"/>
      <c r="G170" s="34" t="n">
        <v>0</v>
      </c>
      <c r="H170" s="48" t="str">
        <f aca="false">IF(G170=0,"",G170*0.1)</f>
        <v/>
      </c>
      <c r="I170" s="35" t="str">
        <f aca="false">IF(G170=0,"",G170*1.1)</f>
        <v/>
      </c>
      <c r="J170" s="34" t="n">
        <v>0</v>
      </c>
      <c r="K170" s="32"/>
      <c r="L170" s="32"/>
      <c r="M170" s="13"/>
    </row>
    <row r="171" customFormat="false" ht="15.75" hidden="false" customHeight="true" outlineLevel="0" collapsed="false">
      <c r="B171" s="36"/>
      <c r="C171" s="4"/>
      <c r="D171" s="4"/>
      <c r="E171" s="36"/>
      <c r="F171" s="36"/>
      <c r="G171" s="37" t="n">
        <v>0</v>
      </c>
      <c r="H171" s="49" t="str">
        <f aca="false">IF(G171=0,"",G171*0.1)</f>
        <v/>
      </c>
      <c r="I171" s="35" t="str">
        <f aca="false">IF(G171=0,"",G171*1.1)</f>
        <v/>
      </c>
      <c r="J171" s="37" t="n">
        <v>0</v>
      </c>
      <c r="K171" s="36"/>
      <c r="L171" s="36"/>
      <c r="M171" s="5"/>
    </row>
    <row r="172" customFormat="false" ht="15.75" hidden="false" customHeight="true" outlineLevel="0" collapsed="false">
      <c r="B172" s="32"/>
      <c r="C172" s="33"/>
      <c r="D172" s="33"/>
      <c r="E172" s="32"/>
      <c r="F172" s="32"/>
      <c r="G172" s="34" t="n">
        <v>0</v>
      </c>
      <c r="H172" s="48" t="str">
        <f aca="false">IF(G172=0,"",G172*0.1)</f>
        <v/>
      </c>
      <c r="I172" s="35" t="str">
        <f aca="false">IF(G172=0,"",G172*1.1)</f>
        <v/>
      </c>
      <c r="J172" s="34" t="n">
        <v>0</v>
      </c>
      <c r="K172" s="32"/>
      <c r="L172" s="32"/>
      <c r="M172" s="13"/>
    </row>
    <row r="173" customFormat="false" ht="15.75" hidden="false" customHeight="true" outlineLevel="0" collapsed="false">
      <c r="B173" s="36"/>
      <c r="C173" s="4"/>
      <c r="D173" s="4"/>
      <c r="E173" s="36"/>
      <c r="F173" s="36"/>
      <c r="G173" s="37" t="n">
        <v>0</v>
      </c>
      <c r="H173" s="49" t="str">
        <f aca="false">IF(G173=0,"",G173*0.1)</f>
        <v/>
      </c>
      <c r="I173" s="35" t="str">
        <f aca="false">IF(G173=0,"",G173*1.1)</f>
        <v/>
      </c>
      <c r="J173" s="37" t="n">
        <v>0</v>
      </c>
      <c r="K173" s="36"/>
      <c r="L173" s="36"/>
      <c r="M173" s="5"/>
    </row>
    <row r="174" customFormat="false" ht="15.75" hidden="false" customHeight="true" outlineLevel="0" collapsed="false">
      <c r="B174" s="32"/>
      <c r="C174" s="33"/>
      <c r="D174" s="33"/>
      <c r="E174" s="32"/>
      <c r="F174" s="32"/>
      <c r="G174" s="34" t="n">
        <v>0</v>
      </c>
      <c r="H174" s="48" t="str">
        <f aca="false">IF(G174=0,"",G174*0.1)</f>
        <v/>
      </c>
      <c r="I174" s="35" t="str">
        <f aca="false">IF(G174=0,"",G174*1.1)</f>
        <v/>
      </c>
      <c r="J174" s="34" t="n">
        <v>0</v>
      </c>
      <c r="K174" s="32"/>
      <c r="L174" s="32"/>
      <c r="M174" s="13"/>
    </row>
    <row r="175" customFormat="false" ht="15.75" hidden="false" customHeight="true" outlineLevel="0" collapsed="false">
      <c r="B175" s="36"/>
      <c r="C175" s="4"/>
      <c r="D175" s="4"/>
      <c r="E175" s="36"/>
      <c r="F175" s="36"/>
      <c r="G175" s="37" t="n">
        <v>0</v>
      </c>
      <c r="H175" s="49" t="str">
        <f aca="false">IF(G175=0,"",G175*0.1)</f>
        <v/>
      </c>
      <c r="I175" s="35" t="str">
        <f aca="false">IF(G175=0,"",G175*1.1)</f>
        <v/>
      </c>
      <c r="J175" s="37" t="n">
        <v>0</v>
      </c>
      <c r="K175" s="36"/>
      <c r="L175" s="36"/>
      <c r="M175" s="5"/>
    </row>
    <row r="176" customFormat="false" ht="15.75" hidden="false" customHeight="true" outlineLevel="0" collapsed="false">
      <c r="B176" s="32"/>
      <c r="C176" s="33"/>
      <c r="D176" s="33"/>
      <c r="E176" s="32"/>
      <c r="F176" s="32"/>
      <c r="G176" s="34" t="n">
        <v>0</v>
      </c>
      <c r="H176" s="48" t="str">
        <f aca="false">IF(G176=0,"",G176*0.1)</f>
        <v/>
      </c>
      <c r="I176" s="35" t="str">
        <f aca="false">IF(G176=0,"",G176*1.1)</f>
        <v/>
      </c>
      <c r="J176" s="34" t="n">
        <v>0</v>
      </c>
      <c r="K176" s="32"/>
      <c r="L176" s="32"/>
      <c r="M176" s="13"/>
    </row>
    <row r="177" customFormat="false" ht="15.75" hidden="false" customHeight="true" outlineLevel="0" collapsed="false">
      <c r="B177" s="36"/>
      <c r="C177" s="4"/>
      <c r="D177" s="4"/>
      <c r="E177" s="36"/>
      <c r="F177" s="36"/>
      <c r="G177" s="37" t="n">
        <v>0</v>
      </c>
      <c r="H177" s="49" t="str">
        <f aca="false">IF(G177=0,"",G177*0.1)</f>
        <v/>
      </c>
      <c r="I177" s="35" t="str">
        <f aca="false">IF(G177=0,"",G177*1.1)</f>
        <v/>
      </c>
      <c r="J177" s="37" t="n">
        <v>0</v>
      </c>
      <c r="K177" s="36"/>
      <c r="L177" s="36"/>
      <c r="M177" s="5"/>
    </row>
    <row r="178" customFormat="false" ht="15.75" hidden="false" customHeight="true" outlineLevel="0" collapsed="false">
      <c r="B178" s="32"/>
      <c r="C178" s="33"/>
      <c r="D178" s="33"/>
      <c r="E178" s="32"/>
      <c r="F178" s="32"/>
      <c r="G178" s="34" t="n">
        <v>0</v>
      </c>
      <c r="H178" s="48" t="str">
        <f aca="false">IF(G178=0,"",G178*0.1)</f>
        <v/>
      </c>
      <c r="I178" s="35" t="str">
        <f aca="false">IF(G178=0,"",G178*1.1)</f>
        <v/>
      </c>
      <c r="J178" s="34" t="n">
        <v>0</v>
      </c>
      <c r="K178" s="32"/>
      <c r="L178" s="32"/>
      <c r="M178" s="13"/>
    </row>
    <row r="179" customFormat="false" ht="15.75" hidden="false" customHeight="true" outlineLevel="0" collapsed="false">
      <c r="B179" s="36"/>
      <c r="C179" s="4"/>
      <c r="D179" s="4"/>
      <c r="E179" s="36"/>
      <c r="F179" s="36"/>
      <c r="G179" s="37" t="n">
        <v>0</v>
      </c>
      <c r="H179" s="49" t="str">
        <f aca="false">IF(G179=0,"",G179*0.1)</f>
        <v/>
      </c>
      <c r="I179" s="35" t="str">
        <f aca="false">IF(G179=0,"",G179*1.1)</f>
        <v/>
      </c>
      <c r="J179" s="37" t="n">
        <v>0</v>
      </c>
      <c r="K179" s="36"/>
      <c r="L179" s="36"/>
      <c r="M179" s="5"/>
    </row>
    <row r="180" customFormat="false" ht="15.75" hidden="false" customHeight="true" outlineLevel="0" collapsed="false">
      <c r="B180" s="32"/>
      <c r="C180" s="33"/>
      <c r="D180" s="33"/>
      <c r="E180" s="32"/>
      <c r="F180" s="32"/>
      <c r="G180" s="34" t="n">
        <v>0</v>
      </c>
      <c r="H180" s="48" t="str">
        <f aca="false">IF(G180=0,"",G180*0.1)</f>
        <v/>
      </c>
      <c r="I180" s="35" t="str">
        <f aca="false">IF(G180=0,"",G180*1.1)</f>
        <v/>
      </c>
      <c r="J180" s="34" t="n">
        <v>0</v>
      </c>
      <c r="K180" s="32"/>
      <c r="L180" s="32"/>
      <c r="M180" s="13"/>
    </row>
    <row r="181" customFormat="false" ht="15.75" hidden="false" customHeight="true" outlineLevel="0" collapsed="false">
      <c r="B181" s="36"/>
      <c r="C181" s="4"/>
      <c r="D181" s="4"/>
      <c r="E181" s="36"/>
      <c r="F181" s="36"/>
      <c r="G181" s="37" t="n">
        <v>0</v>
      </c>
      <c r="H181" s="49" t="str">
        <f aca="false">IF(G181=0,"",G181*0.1)</f>
        <v/>
      </c>
      <c r="I181" s="35" t="str">
        <f aca="false">IF(G181=0,"",G181*1.1)</f>
        <v/>
      </c>
      <c r="J181" s="37" t="n">
        <v>0</v>
      </c>
      <c r="K181" s="36"/>
      <c r="L181" s="36"/>
      <c r="M181" s="5"/>
    </row>
    <row r="182" customFormat="false" ht="15.75" hidden="false" customHeight="true" outlineLevel="0" collapsed="false">
      <c r="B182" s="32"/>
      <c r="C182" s="33"/>
      <c r="D182" s="33"/>
      <c r="E182" s="32"/>
      <c r="F182" s="32"/>
      <c r="G182" s="34" t="n">
        <v>0</v>
      </c>
      <c r="H182" s="48" t="str">
        <f aca="false">IF(G182=0,"",G182*0.1)</f>
        <v/>
      </c>
      <c r="I182" s="35" t="str">
        <f aca="false">IF(G182=0,"",G182*1.1)</f>
        <v/>
      </c>
      <c r="J182" s="34" t="n">
        <v>0</v>
      </c>
      <c r="K182" s="32"/>
      <c r="L182" s="32"/>
      <c r="M182" s="13"/>
    </row>
    <row r="183" customFormat="false" ht="15.75" hidden="false" customHeight="true" outlineLevel="0" collapsed="false">
      <c r="B183" s="36"/>
      <c r="C183" s="4"/>
      <c r="D183" s="4"/>
      <c r="E183" s="36"/>
      <c r="F183" s="36"/>
      <c r="G183" s="37" t="n">
        <v>0</v>
      </c>
      <c r="H183" s="49" t="str">
        <f aca="false">IF(G183=0,"",G183*0.1)</f>
        <v/>
      </c>
      <c r="I183" s="35" t="str">
        <f aca="false">IF(G183=0,"",G183*1.1)</f>
        <v/>
      </c>
      <c r="J183" s="37" t="n">
        <v>0</v>
      </c>
      <c r="K183" s="36"/>
      <c r="L183" s="36"/>
      <c r="M183" s="5"/>
    </row>
    <row r="184" customFormat="false" ht="15.75" hidden="false" customHeight="true" outlineLevel="0" collapsed="false">
      <c r="B184" s="32"/>
      <c r="C184" s="33"/>
      <c r="D184" s="33"/>
      <c r="E184" s="32"/>
      <c r="F184" s="32"/>
      <c r="G184" s="34" t="n">
        <v>0</v>
      </c>
      <c r="H184" s="48" t="str">
        <f aca="false">IF(G184=0,"",G184*0.1)</f>
        <v/>
      </c>
      <c r="I184" s="35" t="str">
        <f aca="false">IF(G184=0,"",G184*1.1)</f>
        <v/>
      </c>
      <c r="J184" s="34" t="n">
        <v>0</v>
      </c>
      <c r="K184" s="32"/>
      <c r="L184" s="32"/>
      <c r="M184" s="13"/>
    </row>
    <row r="185" customFormat="false" ht="15.75" hidden="false" customHeight="true" outlineLevel="0" collapsed="false">
      <c r="B185" s="36"/>
      <c r="C185" s="4"/>
      <c r="D185" s="4"/>
      <c r="E185" s="36"/>
      <c r="F185" s="36"/>
      <c r="G185" s="37" t="n">
        <v>0</v>
      </c>
      <c r="H185" s="49" t="str">
        <f aca="false">IF(G185=0,"",G185*0.1)</f>
        <v/>
      </c>
      <c r="I185" s="35" t="str">
        <f aca="false">IF(G185=0,"",G185*1.1)</f>
        <v/>
      </c>
      <c r="J185" s="37" t="n">
        <v>0</v>
      </c>
      <c r="K185" s="36"/>
      <c r="L185" s="36"/>
      <c r="M185" s="5"/>
    </row>
    <row r="186" customFormat="false" ht="15.75" hidden="false" customHeight="true" outlineLevel="0" collapsed="false">
      <c r="B186" s="32"/>
      <c r="C186" s="33"/>
      <c r="D186" s="33"/>
      <c r="E186" s="32"/>
      <c r="F186" s="32"/>
      <c r="G186" s="34" t="n">
        <v>0</v>
      </c>
      <c r="H186" s="48" t="str">
        <f aca="false">IF(G186=0,"",G186*0.1)</f>
        <v/>
      </c>
      <c r="I186" s="35" t="str">
        <f aca="false">IF(G186=0,"",G186*1.1)</f>
        <v/>
      </c>
      <c r="J186" s="34" t="n">
        <v>0</v>
      </c>
      <c r="K186" s="32"/>
      <c r="L186" s="32"/>
      <c r="M186" s="13"/>
    </row>
    <row r="187" customFormat="false" ht="15.75" hidden="false" customHeight="true" outlineLevel="0" collapsed="false">
      <c r="B187" s="36"/>
      <c r="C187" s="4"/>
      <c r="D187" s="4"/>
      <c r="E187" s="36"/>
      <c r="F187" s="36"/>
      <c r="G187" s="37" t="n">
        <v>0</v>
      </c>
      <c r="H187" s="49" t="str">
        <f aca="false">IF(G187=0,"",G187*0.1)</f>
        <v/>
      </c>
      <c r="I187" s="35" t="str">
        <f aca="false">IF(G187=0,"",G187*1.1)</f>
        <v/>
      </c>
      <c r="J187" s="37" t="n">
        <v>0</v>
      </c>
      <c r="K187" s="36"/>
      <c r="L187" s="36"/>
      <c r="M187" s="5"/>
    </row>
    <row r="188" customFormat="false" ht="15.75" hidden="false" customHeight="true" outlineLevel="0" collapsed="false">
      <c r="B188" s="32"/>
      <c r="C188" s="33"/>
      <c r="D188" s="33"/>
      <c r="E188" s="32"/>
      <c r="F188" s="32"/>
      <c r="G188" s="34" t="n">
        <v>0</v>
      </c>
      <c r="H188" s="48" t="str">
        <f aca="false">IF(G188=0,"",G188*0.1)</f>
        <v/>
      </c>
      <c r="I188" s="35" t="str">
        <f aca="false">IF(G188=0,"",G188*1.1)</f>
        <v/>
      </c>
      <c r="J188" s="34" t="n">
        <v>0</v>
      </c>
      <c r="K188" s="32"/>
      <c r="L188" s="32"/>
      <c r="M188" s="13"/>
    </row>
    <row r="189" customFormat="false" ht="15.75" hidden="false" customHeight="true" outlineLevel="0" collapsed="false">
      <c r="B189" s="36"/>
      <c r="C189" s="4"/>
      <c r="D189" s="4"/>
      <c r="E189" s="36"/>
      <c r="F189" s="36"/>
      <c r="G189" s="37" t="n">
        <v>0</v>
      </c>
      <c r="H189" s="49" t="str">
        <f aca="false">IF(G189=0,"",G189*0.1)</f>
        <v/>
      </c>
      <c r="I189" s="35" t="str">
        <f aca="false">IF(G189=0,"",G189*1.1)</f>
        <v/>
      </c>
      <c r="J189" s="37" t="n">
        <v>0</v>
      </c>
      <c r="K189" s="36"/>
      <c r="L189" s="36"/>
      <c r="M189" s="5"/>
    </row>
    <row r="190" customFormat="false" ht="15.75" hidden="false" customHeight="true" outlineLevel="0" collapsed="false">
      <c r="B190" s="32"/>
      <c r="C190" s="33"/>
      <c r="D190" s="33"/>
      <c r="E190" s="32"/>
      <c r="F190" s="32"/>
      <c r="G190" s="34" t="n">
        <v>0</v>
      </c>
      <c r="H190" s="48" t="str">
        <f aca="false">IF(G190=0,"",G190*0.1)</f>
        <v/>
      </c>
      <c r="I190" s="35" t="str">
        <f aca="false">IF(G190=0,"",G190*1.1)</f>
        <v/>
      </c>
      <c r="J190" s="34" t="n">
        <v>0</v>
      </c>
      <c r="K190" s="32"/>
      <c r="L190" s="32"/>
      <c r="M190" s="13"/>
    </row>
    <row r="191" customFormat="false" ht="15.75" hidden="false" customHeight="true" outlineLevel="0" collapsed="false">
      <c r="B191" s="36"/>
      <c r="C191" s="4"/>
      <c r="D191" s="4"/>
      <c r="E191" s="36"/>
      <c r="F191" s="36"/>
      <c r="G191" s="37" t="n">
        <v>0</v>
      </c>
      <c r="H191" s="49" t="str">
        <f aca="false">IF(G191=0,"",G191*0.1)</f>
        <v/>
      </c>
      <c r="I191" s="35" t="str">
        <f aca="false">IF(G191=0,"",G191*1.1)</f>
        <v/>
      </c>
      <c r="J191" s="37" t="n">
        <v>0</v>
      </c>
      <c r="K191" s="36"/>
      <c r="L191" s="36"/>
      <c r="M191" s="5"/>
    </row>
    <row r="192" customFormat="false" ht="15.75" hidden="false" customHeight="true" outlineLevel="0" collapsed="false">
      <c r="B192" s="32"/>
      <c r="C192" s="33"/>
      <c r="D192" s="33"/>
      <c r="E192" s="32"/>
      <c r="F192" s="32"/>
      <c r="G192" s="34" t="n">
        <v>0</v>
      </c>
      <c r="H192" s="48" t="str">
        <f aca="false">IF(G192=0,"",G192*0.1)</f>
        <v/>
      </c>
      <c r="I192" s="35" t="str">
        <f aca="false">IF(G192=0,"",G192*1.1)</f>
        <v/>
      </c>
      <c r="J192" s="34" t="n">
        <v>0</v>
      </c>
      <c r="K192" s="32"/>
      <c r="L192" s="32"/>
      <c r="M192" s="13"/>
    </row>
    <row r="193" customFormat="false" ht="15.75" hidden="false" customHeight="true" outlineLevel="0" collapsed="false">
      <c r="B193" s="36"/>
      <c r="C193" s="4"/>
      <c r="D193" s="4"/>
      <c r="E193" s="36"/>
      <c r="F193" s="36"/>
      <c r="G193" s="37" t="n">
        <v>0</v>
      </c>
      <c r="H193" s="49" t="str">
        <f aca="false">IF(G193=0,"",G193*0.1)</f>
        <v/>
      </c>
      <c r="I193" s="35" t="str">
        <f aca="false">IF(G193=0,"",G193*1.1)</f>
        <v/>
      </c>
      <c r="J193" s="37" t="n">
        <v>0</v>
      </c>
      <c r="K193" s="36"/>
      <c r="L193" s="36"/>
      <c r="M193" s="5"/>
    </row>
    <row r="194" customFormat="false" ht="15.75" hidden="false" customHeight="true" outlineLevel="0" collapsed="false">
      <c r="B194" s="32"/>
      <c r="C194" s="33"/>
      <c r="D194" s="33"/>
      <c r="E194" s="32"/>
      <c r="F194" s="32"/>
      <c r="G194" s="34" t="n">
        <v>0</v>
      </c>
      <c r="H194" s="48" t="str">
        <f aca="false">IF(G194=0,"",G194*0.1)</f>
        <v/>
      </c>
      <c r="I194" s="35" t="str">
        <f aca="false">IF(G194=0,"",G194*1.1)</f>
        <v/>
      </c>
      <c r="J194" s="34" t="n">
        <v>0</v>
      </c>
      <c r="K194" s="32"/>
      <c r="L194" s="32"/>
      <c r="M194" s="13"/>
    </row>
    <row r="195" customFormat="false" ht="15.75" hidden="false" customHeight="true" outlineLevel="0" collapsed="false">
      <c r="B195" s="36"/>
      <c r="C195" s="4"/>
      <c r="D195" s="4"/>
      <c r="E195" s="36"/>
      <c r="F195" s="36"/>
      <c r="G195" s="37" t="n">
        <v>0</v>
      </c>
      <c r="H195" s="49" t="str">
        <f aca="false">IF(G195=0,"",G195*0.1)</f>
        <v/>
      </c>
      <c r="I195" s="35" t="str">
        <f aca="false">IF(G195=0,"",G195*1.1)</f>
        <v/>
      </c>
      <c r="J195" s="37" t="n">
        <v>0</v>
      </c>
      <c r="K195" s="36"/>
      <c r="L195" s="36"/>
      <c r="M195" s="5"/>
    </row>
    <row r="196" customFormat="false" ht="15.75" hidden="false" customHeight="true" outlineLevel="0" collapsed="false">
      <c r="B196" s="32"/>
      <c r="C196" s="33"/>
      <c r="D196" s="33"/>
      <c r="E196" s="32"/>
      <c r="F196" s="32"/>
      <c r="G196" s="34" t="n">
        <v>0</v>
      </c>
      <c r="H196" s="48" t="str">
        <f aca="false">IF(G196=0,"",G196*0.1)</f>
        <v/>
      </c>
      <c r="I196" s="35" t="str">
        <f aca="false">IF(G196=0,"",G196*1.1)</f>
        <v/>
      </c>
      <c r="J196" s="34" t="n">
        <v>0</v>
      </c>
      <c r="K196" s="32"/>
      <c r="L196" s="32"/>
      <c r="M196" s="13"/>
    </row>
    <row r="197" customFormat="false" ht="15.75" hidden="false" customHeight="true" outlineLevel="0" collapsed="false">
      <c r="B197" s="36"/>
      <c r="C197" s="4"/>
      <c r="D197" s="4"/>
      <c r="E197" s="36"/>
      <c r="F197" s="36"/>
      <c r="G197" s="37" t="n">
        <v>0</v>
      </c>
      <c r="H197" s="49" t="str">
        <f aca="false">IF(G197=0,"",G197*0.1)</f>
        <v/>
      </c>
      <c r="I197" s="35" t="str">
        <f aca="false">IF(G197=0,"",G197*1.1)</f>
        <v/>
      </c>
      <c r="J197" s="37" t="n">
        <v>0</v>
      </c>
      <c r="K197" s="36"/>
      <c r="L197" s="36"/>
      <c r="M197" s="5"/>
    </row>
    <row r="198" customFormat="false" ht="15.75" hidden="false" customHeight="true" outlineLevel="0" collapsed="false">
      <c r="B198" s="32"/>
      <c r="C198" s="33"/>
      <c r="D198" s="33"/>
      <c r="E198" s="32"/>
      <c r="F198" s="32"/>
      <c r="G198" s="34" t="n">
        <v>0</v>
      </c>
      <c r="H198" s="48" t="str">
        <f aca="false">IF(G198=0,"",G198*0.1)</f>
        <v/>
      </c>
      <c r="I198" s="35" t="str">
        <f aca="false">IF(G198=0,"",G198*1.1)</f>
        <v/>
      </c>
      <c r="J198" s="34" t="n">
        <v>0</v>
      </c>
      <c r="K198" s="32"/>
      <c r="L198" s="32"/>
      <c r="M198" s="13"/>
    </row>
    <row r="199" customFormat="false" ht="15.75" hidden="false" customHeight="true" outlineLevel="0" collapsed="false">
      <c r="B199" s="36"/>
      <c r="C199" s="4"/>
      <c r="D199" s="4"/>
      <c r="E199" s="36"/>
      <c r="F199" s="36"/>
      <c r="G199" s="37" t="n">
        <v>0</v>
      </c>
      <c r="H199" s="49" t="str">
        <f aca="false">IF(G199=0,"",G199*0.1)</f>
        <v/>
      </c>
      <c r="I199" s="35" t="str">
        <f aca="false">IF(G199=0,"",G199*1.1)</f>
        <v/>
      </c>
      <c r="J199" s="37" t="n">
        <v>0</v>
      </c>
      <c r="K199" s="36"/>
      <c r="L199" s="36"/>
      <c r="M199" s="5"/>
    </row>
    <row r="200" customFormat="false" ht="15.75" hidden="false" customHeight="true" outlineLevel="0" collapsed="false">
      <c r="B200" s="32"/>
      <c r="C200" s="33"/>
      <c r="D200" s="33"/>
      <c r="E200" s="32"/>
      <c r="F200" s="32"/>
      <c r="G200" s="34" t="n">
        <v>0</v>
      </c>
      <c r="H200" s="48" t="str">
        <f aca="false">IF(G200=0,"",G200*0.1)</f>
        <v/>
      </c>
      <c r="I200" s="35" t="str">
        <f aca="false">IF(G200=0,"",G200*1.1)</f>
        <v/>
      </c>
      <c r="J200" s="34" t="n">
        <v>0</v>
      </c>
      <c r="K200" s="32"/>
      <c r="L200" s="32"/>
      <c r="M200" s="13"/>
    </row>
    <row r="201" customFormat="false" ht="15.75" hidden="false" customHeight="true" outlineLevel="0" collapsed="false">
      <c r="B201" s="36"/>
      <c r="C201" s="4"/>
      <c r="D201" s="4"/>
      <c r="E201" s="36"/>
      <c r="F201" s="36"/>
      <c r="G201" s="37" t="n">
        <v>0</v>
      </c>
      <c r="H201" s="49" t="str">
        <f aca="false">IF(G201=0,"",G201*0.1)</f>
        <v/>
      </c>
      <c r="I201" s="35" t="str">
        <f aca="false">IF(G201=0,"",G201*1.1)</f>
        <v/>
      </c>
      <c r="J201" s="37" t="n">
        <v>0</v>
      </c>
      <c r="K201" s="36"/>
      <c r="L201" s="36"/>
      <c r="M201" s="5"/>
    </row>
    <row r="202" customFormat="false" ht="15.75" hidden="false" customHeight="true" outlineLevel="0" collapsed="false">
      <c r="B202" s="32"/>
      <c r="C202" s="33"/>
      <c r="D202" s="33"/>
      <c r="E202" s="32"/>
      <c r="F202" s="32"/>
      <c r="G202" s="34" t="n">
        <v>0</v>
      </c>
      <c r="H202" s="48" t="str">
        <f aca="false">IF(G202=0,"",G202*0.1)</f>
        <v/>
      </c>
      <c r="I202" s="35" t="str">
        <f aca="false">IF(G202=0,"",G202*1.1)</f>
        <v/>
      </c>
      <c r="J202" s="34" t="n">
        <v>0</v>
      </c>
      <c r="K202" s="32"/>
      <c r="L202" s="32"/>
      <c r="M202" s="13"/>
    </row>
    <row r="203" customFormat="false" ht="15.75" hidden="false" customHeight="true" outlineLevel="0" collapsed="false">
      <c r="B203" s="36"/>
      <c r="C203" s="4"/>
      <c r="D203" s="4"/>
      <c r="E203" s="36"/>
      <c r="F203" s="36"/>
      <c r="G203" s="37" t="n">
        <v>0</v>
      </c>
      <c r="H203" s="49" t="str">
        <f aca="false">IF(G203=0,"",G203*0.1)</f>
        <v/>
      </c>
      <c r="I203" s="35" t="str">
        <f aca="false">IF(G203=0,"",G203*1.1)</f>
        <v/>
      </c>
      <c r="J203" s="37" t="n">
        <v>0</v>
      </c>
      <c r="K203" s="36"/>
      <c r="L203" s="36"/>
      <c r="M203" s="5"/>
    </row>
    <row r="204" customFormat="false" ht="15.75" hidden="false" customHeight="true" outlineLevel="0" collapsed="false">
      <c r="B204" s="32"/>
      <c r="C204" s="33"/>
      <c r="D204" s="33"/>
      <c r="E204" s="32"/>
      <c r="F204" s="32"/>
      <c r="G204" s="34" t="n">
        <v>0</v>
      </c>
      <c r="H204" s="48" t="str">
        <f aca="false">IF(G204=0,"",G204*0.1)</f>
        <v/>
      </c>
      <c r="I204" s="35" t="str">
        <f aca="false">IF(G204=0,"",G204*1.1)</f>
        <v/>
      </c>
      <c r="J204" s="34" t="n">
        <v>0</v>
      </c>
      <c r="K204" s="32"/>
      <c r="L204" s="32"/>
      <c r="M204" s="13"/>
    </row>
    <row r="205" customFormat="false" ht="15.75" hidden="false" customHeight="true" outlineLevel="0" collapsed="false">
      <c r="B205" s="36"/>
      <c r="C205" s="4"/>
      <c r="D205" s="4"/>
      <c r="E205" s="36"/>
      <c r="F205" s="36"/>
      <c r="G205" s="37" t="n">
        <v>0</v>
      </c>
      <c r="H205" s="49" t="str">
        <f aca="false">IF(G205=0,"",G205*0.1)</f>
        <v/>
      </c>
      <c r="I205" s="35" t="str">
        <f aca="false">IF(G205=0,"",G205*1.1)</f>
        <v/>
      </c>
      <c r="J205" s="37" t="n">
        <v>0</v>
      </c>
      <c r="K205" s="36"/>
      <c r="L205" s="36"/>
      <c r="M205" s="5"/>
    </row>
    <row r="206" customFormat="false" ht="19.5" hidden="false" customHeight="true" outlineLevel="0" collapsed="false">
      <c r="B206" s="38" t="s">
        <v>560</v>
      </c>
      <c r="C206" s="2"/>
      <c r="D206" s="2"/>
      <c r="E206" s="2"/>
      <c r="F206" s="2"/>
      <c r="G206" s="39" t="n">
        <f aca="false">SUM(G6:G205)</f>
        <v>0</v>
      </c>
      <c r="H206" s="39" t="n">
        <f aca="false">SUM(H6:H205)</f>
        <v>0</v>
      </c>
      <c r="I206" s="39" t="n">
        <f aca="false">SUM(I6:I205)</f>
        <v>0</v>
      </c>
      <c r="J206" s="39" t="n">
        <f aca="false">SUM(J6:J205)</f>
        <v>0</v>
      </c>
      <c r="K206" s="2"/>
      <c r="L206" s="2"/>
      <c r="M20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L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3"/>
  </cols>
  <sheetData>
    <row r="2" customFormat="false" ht="39.75" hidden="false" customHeight="true" outlineLevel="0" collapsed="false">
      <c r="B2" s="1" t="s">
        <v>571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4.5" hidden="false" customHeight="true" outlineLevel="0" collapsed="false"/>
    <row r="4" customFormat="false" ht="15.75" hidden="false" customHeight="true" outlineLevel="0" collapsed="false">
      <c r="B4" s="29" t="s">
        <v>572</v>
      </c>
      <c r="C4" s="5"/>
      <c r="D4" s="5"/>
      <c r="E4" s="5"/>
      <c r="F4" s="5"/>
      <c r="G4" s="5"/>
      <c r="H4" s="5"/>
      <c r="I4" s="5"/>
      <c r="J4" s="5"/>
      <c r="K4" s="5"/>
    </row>
    <row r="5" customFormat="false" ht="27.75" hidden="false" customHeight="true" outlineLevel="0" collapsed="false">
      <c r="B5" s="15" t="s">
        <v>19</v>
      </c>
      <c r="C5" s="15" t="s">
        <v>573</v>
      </c>
      <c r="D5" s="15" t="s">
        <v>550</v>
      </c>
      <c r="E5" s="15" t="s">
        <v>574</v>
      </c>
      <c r="F5" s="15" t="s">
        <v>575</v>
      </c>
      <c r="G5" s="15" t="s">
        <v>576</v>
      </c>
      <c r="H5" s="15" t="s">
        <v>577</v>
      </c>
      <c r="I5" s="15" t="s">
        <v>541</v>
      </c>
      <c r="J5" s="15" t="s">
        <v>578</v>
      </c>
      <c r="K5" s="15" t="s">
        <v>34</v>
      </c>
      <c r="L5" s="2"/>
    </row>
    <row r="6" customFormat="false" ht="15.75" hidden="false" customHeight="true" outlineLevel="0" collapsed="false">
      <c r="B6" s="32"/>
      <c r="C6" s="32"/>
      <c r="D6" s="33"/>
      <c r="E6" s="32"/>
      <c r="F6" s="34" t="n">
        <v>0</v>
      </c>
      <c r="G6" s="43" t="str">
        <f aca="false">IF(F6=0,"",SUMIFS('Invoice Register'!$G$6:$G$405,'Invoice Register'!$B$6:$B$405,B6,'Invoice Register'!$K$6:$K$405,"Paid")+SUMIFS('Invoice Register'!$G$6:$G$405,'Invoice Register'!$B$6:$B$405,B6,'Invoice Register'!$K$6:$K$405,"Approved"))</f>
        <v/>
      </c>
      <c r="H6" s="44" t="str">
        <f aca="false">IF(F6=0,"",MAX(0,F6-G6))</f>
        <v/>
      </c>
      <c r="I6" s="32"/>
      <c r="J6" s="32"/>
      <c r="K6" s="33"/>
      <c r="L6" s="13"/>
    </row>
    <row r="7" customFormat="false" ht="15.75" hidden="false" customHeight="true" outlineLevel="0" collapsed="false">
      <c r="B7" s="36"/>
      <c r="C7" s="36"/>
      <c r="D7" s="4"/>
      <c r="E7" s="36"/>
      <c r="F7" s="37" t="n">
        <v>0</v>
      </c>
      <c r="G7" s="46" t="str">
        <f aca="false">IF(F7=0,"",SUMIFS('Invoice Register'!$G$6:$G$405,'Invoice Register'!$B$6:$B$405,B7,'Invoice Register'!$K$6:$K$405,"Paid")+SUMIFS('Invoice Register'!$G$6:$G$405,'Invoice Register'!$B$6:$B$405,B7,'Invoice Register'!$K$6:$K$405,"Approved"))</f>
        <v/>
      </c>
      <c r="H7" s="44" t="str">
        <f aca="false">IF(F7=0,"",MAX(0,F7-G7))</f>
        <v/>
      </c>
      <c r="I7" s="36"/>
      <c r="J7" s="36"/>
      <c r="K7" s="4"/>
      <c r="L7" s="5"/>
    </row>
    <row r="8" customFormat="false" ht="15.75" hidden="false" customHeight="true" outlineLevel="0" collapsed="false">
      <c r="B8" s="32"/>
      <c r="C8" s="32"/>
      <c r="D8" s="33"/>
      <c r="E8" s="32"/>
      <c r="F8" s="34" t="n">
        <v>0</v>
      </c>
      <c r="G8" s="43" t="str">
        <f aca="false">IF(F8=0,"",SUMIFS('Invoice Register'!$G$6:$G$405,'Invoice Register'!$B$6:$B$405,B8,'Invoice Register'!$K$6:$K$405,"Paid")+SUMIFS('Invoice Register'!$G$6:$G$405,'Invoice Register'!$B$6:$B$405,B8,'Invoice Register'!$K$6:$K$405,"Approved"))</f>
        <v/>
      </c>
      <c r="H8" s="44" t="str">
        <f aca="false">IF(F8=0,"",MAX(0,F8-G8))</f>
        <v/>
      </c>
      <c r="I8" s="32"/>
      <c r="J8" s="32"/>
      <c r="K8" s="33"/>
      <c r="L8" s="13"/>
    </row>
    <row r="9" customFormat="false" ht="15.75" hidden="false" customHeight="true" outlineLevel="0" collapsed="false">
      <c r="B9" s="36"/>
      <c r="C9" s="36"/>
      <c r="D9" s="4"/>
      <c r="E9" s="36"/>
      <c r="F9" s="37" t="n">
        <v>0</v>
      </c>
      <c r="G9" s="46" t="str">
        <f aca="false">IF(F9=0,"",SUMIFS('Invoice Register'!$G$6:$G$405,'Invoice Register'!$B$6:$B$405,B9,'Invoice Register'!$K$6:$K$405,"Paid")+SUMIFS('Invoice Register'!$G$6:$G$405,'Invoice Register'!$B$6:$B$405,B9,'Invoice Register'!$K$6:$K$405,"Approved"))</f>
        <v/>
      </c>
      <c r="H9" s="44" t="str">
        <f aca="false">IF(F9=0,"",MAX(0,F9-G9))</f>
        <v/>
      </c>
      <c r="I9" s="36"/>
      <c r="J9" s="36"/>
      <c r="K9" s="4"/>
      <c r="L9" s="5"/>
    </row>
    <row r="10" customFormat="false" ht="15.75" hidden="false" customHeight="true" outlineLevel="0" collapsed="false">
      <c r="B10" s="32"/>
      <c r="C10" s="32"/>
      <c r="D10" s="33"/>
      <c r="E10" s="32"/>
      <c r="F10" s="34" t="n">
        <v>0</v>
      </c>
      <c r="G10" s="43" t="str">
        <f aca="false">IF(F10=0,"",SUMIFS('Invoice Register'!$G$6:$G$405,'Invoice Register'!$B$6:$B$405,B10,'Invoice Register'!$K$6:$K$405,"Paid")+SUMIFS('Invoice Register'!$G$6:$G$405,'Invoice Register'!$B$6:$B$405,B10,'Invoice Register'!$K$6:$K$405,"Approved"))</f>
        <v/>
      </c>
      <c r="H10" s="44" t="str">
        <f aca="false">IF(F10=0,"",MAX(0,F10-G10))</f>
        <v/>
      </c>
      <c r="I10" s="32"/>
      <c r="J10" s="32"/>
      <c r="K10" s="33"/>
      <c r="L10" s="13"/>
    </row>
    <row r="11" customFormat="false" ht="15.75" hidden="false" customHeight="true" outlineLevel="0" collapsed="false">
      <c r="B11" s="36"/>
      <c r="C11" s="36"/>
      <c r="D11" s="4"/>
      <c r="E11" s="36"/>
      <c r="F11" s="37" t="n">
        <v>0</v>
      </c>
      <c r="G11" s="46" t="str">
        <f aca="false">IF(F11=0,"",SUMIFS('Invoice Register'!$G$6:$G$405,'Invoice Register'!$B$6:$B$405,B11,'Invoice Register'!$K$6:$K$405,"Paid")+SUMIFS('Invoice Register'!$G$6:$G$405,'Invoice Register'!$B$6:$B$405,B11,'Invoice Register'!$K$6:$K$405,"Approved"))</f>
        <v/>
      </c>
      <c r="H11" s="44" t="str">
        <f aca="false">IF(F11=0,"",MAX(0,F11-G11))</f>
        <v/>
      </c>
      <c r="I11" s="36"/>
      <c r="J11" s="36"/>
      <c r="K11" s="4"/>
      <c r="L11" s="5"/>
    </row>
    <row r="12" customFormat="false" ht="15.75" hidden="false" customHeight="true" outlineLevel="0" collapsed="false">
      <c r="B12" s="32"/>
      <c r="C12" s="32"/>
      <c r="D12" s="33"/>
      <c r="E12" s="32"/>
      <c r="F12" s="34" t="n">
        <v>0</v>
      </c>
      <c r="G12" s="43" t="str">
        <f aca="false">IF(F12=0,"",SUMIFS('Invoice Register'!$G$6:$G$405,'Invoice Register'!$B$6:$B$405,B12,'Invoice Register'!$K$6:$K$405,"Paid")+SUMIFS('Invoice Register'!$G$6:$G$405,'Invoice Register'!$B$6:$B$405,B12,'Invoice Register'!$K$6:$K$405,"Approved"))</f>
        <v/>
      </c>
      <c r="H12" s="44" t="str">
        <f aca="false">IF(F12=0,"",MAX(0,F12-G12))</f>
        <v/>
      </c>
      <c r="I12" s="32"/>
      <c r="J12" s="32"/>
      <c r="K12" s="33"/>
      <c r="L12" s="13"/>
    </row>
    <row r="13" customFormat="false" ht="15.75" hidden="false" customHeight="true" outlineLevel="0" collapsed="false">
      <c r="B13" s="36"/>
      <c r="C13" s="36"/>
      <c r="D13" s="4"/>
      <c r="E13" s="36"/>
      <c r="F13" s="37" t="n">
        <v>0</v>
      </c>
      <c r="G13" s="46" t="str">
        <f aca="false">IF(F13=0,"",SUMIFS('Invoice Register'!$G$6:$G$405,'Invoice Register'!$B$6:$B$405,B13,'Invoice Register'!$K$6:$K$405,"Paid")+SUMIFS('Invoice Register'!$G$6:$G$405,'Invoice Register'!$B$6:$B$405,B13,'Invoice Register'!$K$6:$K$405,"Approved"))</f>
        <v/>
      </c>
      <c r="H13" s="44" t="str">
        <f aca="false">IF(F13=0,"",MAX(0,F13-G13))</f>
        <v/>
      </c>
      <c r="I13" s="36"/>
      <c r="J13" s="36"/>
      <c r="K13" s="4"/>
      <c r="L13" s="5"/>
    </row>
    <row r="14" customFormat="false" ht="15.75" hidden="false" customHeight="true" outlineLevel="0" collapsed="false">
      <c r="B14" s="32"/>
      <c r="C14" s="32"/>
      <c r="D14" s="33"/>
      <c r="E14" s="32"/>
      <c r="F14" s="34" t="n">
        <v>0</v>
      </c>
      <c r="G14" s="43" t="str">
        <f aca="false">IF(F14=0,"",SUMIFS('Invoice Register'!$G$6:$G$405,'Invoice Register'!$B$6:$B$405,B14,'Invoice Register'!$K$6:$K$405,"Paid")+SUMIFS('Invoice Register'!$G$6:$G$405,'Invoice Register'!$B$6:$B$405,B14,'Invoice Register'!$K$6:$K$405,"Approved"))</f>
        <v/>
      </c>
      <c r="H14" s="44" t="str">
        <f aca="false">IF(F14=0,"",MAX(0,F14-G14))</f>
        <v/>
      </c>
      <c r="I14" s="32"/>
      <c r="J14" s="32"/>
      <c r="K14" s="33"/>
      <c r="L14" s="13"/>
    </row>
    <row r="15" customFormat="false" ht="15.75" hidden="false" customHeight="true" outlineLevel="0" collapsed="false">
      <c r="B15" s="36"/>
      <c r="C15" s="36"/>
      <c r="D15" s="4"/>
      <c r="E15" s="36"/>
      <c r="F15" s="37" t="n">
        <v>0</v>
      </c>
      <c r="G15" s="46" t="str">
        <f aca="false">IF(F15=0,"",SUMIFS('Invoice Register'!$G$6:$G$405,'Invoice Register'!$B$6:$B$405,B15,'Invoice Register'!$K$6:$K$405,"Paid")+SUMIFS('Invoice Register'!$G$6:$G$405,'Invoice Register'!$B$6:$B$405,B15,'Invoice Register'!$K$6:$K$405,"Approved"))</f>
        <v/>
      </c>
      <c r="H15" s="44" t="str">
        <f aca="false">IF(F15=0,"",MAX(0,F15-G15))</f>
        <v/>
      </c>
      <c r="I15" s="36"/>
      <c r="J15" s="36"/>
      <c r="K15" s="4"/>
      <c r="L15" s="5"/>
    </row>
    <row r="16" customFormat="false" ht="15.75" hidden="false" customHeight="true" outlineLevel="0" collapsed="false">
      <c r="B16" s="32"/>
      <c r="C16" s="32"/>
      <c r="D16" s="33"/>
      <c r="E16" s="32"/>
      <c r="F16" s="34" t="n">
        <v>0</v>
      </c>
      <c r="G16" s="43" t="str">
        <f aca="false">IF(F16=0,"",SUMIFS('Invoice Register'!$G$6:$G$405,'Invoice Register'!$B$6:$B$405,B16,'Invoice Register'!$K$6:$K$405,"Paid")+SUMIFS('Invoice Register'!$G$6:$G$405,'Invoice Register'!$B$6:$B$405,B16,'Invoice Register'!$K$6:$K$405,"Approved"))</f>
        <v/>
      </c>
      <c r="H16" s="44" t="str">
        <f aca="false">IF(F16=0,"",MAX(0,F16-G16))</f>
        <v/>
      </c>
      <c r="I16" s="32"/>
      <c r="J16" s="32"/>
      <c r="K16" s="33"/>
      <c r="L16" s="13"/>
    </row>
    <row r="17" customFormat="false" ht="15.75" hidden="false" customHeight="true" outlineLevel="0" collapsed="false">
      <c r="B17" s="36"/>
      <c r="C17" s="36"/>
      <c r="D17" s="4"/>
      <c r="E17" s="36"/>
      <c r="F17" s="37" t="n">
        <v>0</v>
      </c>
      <c r="G17" s="46" t="str">
        <f aca="false">IF(F17=0,"",SUMIFS('Invoice Register'!$G$6:$G$405,'Invoice Register'!$B$6:$B$405,B17,'Invoice Register'!$K$6:$K$405,"Paid")+SUMIFS('Invoice Register'!$G$6:$G$405,'Invoice Register'!$B$6:$B$405,B17,'Invoice Register'!$K$6:$K$405,"Approved"))</f>
        <v/>
      </c>
      <c r="H17" s="44" t="str">
        <f aca="false">IF(F17=0,"",MAX(0,F17-G17))</f>
        <v/>
      </c>
      <c r="I17" s="36"/>
      <c r="J17" s="36"/>
      <c r="K17" s="4"/>
      <c r="L17" s="5"/>
    </row>
    <row r="18" customFormat="false" ht="15.75" hidden="false" customHeight="true" outlineLevel="0" collapsed="false">
      <c r="B18" s="32"/>
      <c r="C18" s="32"/>
      <c r="D18" s="33"/>
      <c r="E18" s="32"/>
      <c r="F18" s="34" t="n">
        <v>0</v>
      </c>
      <c r="G18" s="43" t="str">
        <f aca="false">IF(F18=0,"",SUMIFS('Invoice Register'!$G$6:$G$405,'Invoice Register'!$B$6:$B$405,B18,'Invoice Register'!$K$6:$K$405,"Paid")+SUMIFS('Invoice Register'!$G$6:$G$405,'Invoice Register'!$B$6:$B$405,B18,'Invoice Register'!$K$6:$K$405,"Approved"))</f>
        <v/>
      </c>
      <c r="H18" s="44" t="str">
        <f aca="false">IF(F18=0,"",MAX(0,F18-G18))</f>
        <v/>
      </c>
      <c r="I18" s="32"/>
      <c r="J18" s="32"/>
      <c r="K18" s="33"/>
      <c r="L18" s="13"/>
    </row>
    <row r="19" customFormat="false" ht="15.75" hidden="false" customHeight="true" outlineLevel="0" collapsed="false">
      <c r="B19" s="36"/>
      <c r="C19" s="36"/>
      <c r="D19" s="4"/>
      <c r="E19" s="36"/>
      <c r="F19" s="37" t="n">
        <v>0</v>
      </c>
      <c r="G19" s="46" t="str">
        <f aca="false">IF(F19=0,"",SUMIFS('Invoice Register'!$G$6:$G$405,'Invoice Register'!$B$6:$B$405,B19,'Invoice Register'!$K$6:$K$405,"Paid")+SUMIFS('Invoice Register'!$G$6:$G$405,'Invoice Register'!$B$6:$B$405,B19,'Invoice Register'!$K$6:$K$405,"Approved"))</f>
        <v/>
      </c>
      <c r="H19" s="44" t="str">
        <f aca="false">IF(F19=0,"",MAX(0,F19-G19))</f>
        <v/>
      </c>
      <c r="I19" s="36"/>
      <c r="J19" s="36"/>
      <c r="K19" s="4"/>
      <c r="L19" s="5"/>
    </row>
    <row r="20" customFormat="false" ht="15.75" hidden="false" customHeight="true" outlineLevel="0" collapsed="false">
      <c r="B20" s="32"/>
      <c r="C20" s="32"/>
      <c r="D20" s="33"/>
      <c r="E20" s="32"/>
      <c r="F20" s="34" t="n">
        <v>0</v>
      </c>
      <c r="G20" s="43" t="str">
        <f aca="false">IF(F20=0,"",SUMIFS('Invoice Register'!$G$6:$G$405,'Invoice Register'!$B$6:$B$405,B20,'Invoice Register'!$K$6:$K$405,"Paid")+SUMIFS('Invoice Register'!$G$6:$G$405,'Invoice Register'!$B$6:$B$405,B20,'Invoice Register'!$K$6:$K$405,"Approved"))</f>
        <v/>
      </c>
      <c r="H20" s="44" t="str">
        <f aca="false">IF(F20=0,"",MAX(0,F20-G20))</f>
        <v/>
      </c>
      <c r="I20" s="32"/>
      <c r="J20" s="32"/>
      <c r="K20" s="33"/>
      <c r="L20" s="13"/>
    </row>
    <row r="21" customFormat="false" ht="15.75" hidden="false" customHeight="true" outlineLevel="0" collapsed="false">
      <c r="B21" s="36"/>
      <c r="C21" s="36"/>
      <c r="D21" s="4"/>
      <c r="E21" s="36"/>
      <c r="F21" s="37" t="n">
        <v>0</v>
      </c>
      <c r="G21" s="46" t="str">
        <f aca="false">IF(F21=0,"",SUMIFS('Invoice Register'!$G$6:$G$405,'Invoice Register'!$B$6:$B$405,B21,'Invoice Register'!$K$6:$K$405,"Paid")+SUMIFS('Invoice Register'!$G$6:$G$405,'Invoice Register'!$B$6:$B$405,B21,'Invoice Register'!$K$6:$K$405,"Approved"))</f>
        <v/>
      </c>
      <c r="H21" s="44" t="str">
        <f aca="false">IF(F21=0,"",MAX(0,F21-G21))</f>
        <v/>
      </c>
      <c r="I21" s="36"/>
      <c r="J21" s="36"/>
      <c r="K21" s="4"/>
      <c r="L21" s="5"/>
    </row>
    <row r="22" customFormat="false" ht="15.75" hidden="false" customHeight="true" outlineLevel="0" collapsed="false">
      <c r="B22" s="32"/>
      <c r="C22" s="32"/>
      <c r="D22" s="33"/>
      <c r="E22" s="32"/>
      <c r="F22" s="34" t="n">
        <v>0</v>
      </c>
      <c r="G22" s="43" t="str">
        <f aca="false">IF(F22=0,"",SUMIFS('Invoice Register'!$G$6:$G$405,'Invoice Register'!$B$6:$B$405,B22,'Invoice Register'!$K$6:$K$405,"Paid")+SUMIFS('Invoice Register'!$G$6:$G$405,'Invoice Register'!$B$6:$B$405,B22,'Invoice Register'!$K$6:$K$405,"Approved"))</f>
        <v/>
      </c>
      <c r="H22" s="44" t="str">
        <f aca="false">IF(F22=0,"",MAX(0,F22-G22))</f>
        <v/>
      </c>
      <c r="I22" s="32"/>
      <c r="J22" s="32"/>
      <c r="K22" s="33"/>
      <c r="L22" s="13"/>
    </row>
    <row r="23" customFormat="false" ht="15.75" hidden="false" customHeight="true" outlineLevel="0" collapsed="false">
      <c r="B23" s="36"/>
      <c r="C23" s="36"/>
      <c r="D23" s="4"/>
      <c r="E23" s="36"/>
      <c r="F23" s="37" t="n">
        <v>0</v>
      </c>
      <c r="G23" s="46" t="str">
        <f aca="false">IF(F23=0,"",SUMIFS('Invoice Register'!$G$6:$G$405,'Invoice Register'!$B$6:$B$405,B23,'Invoice Register'!$K$6:$K$405,"Paid")+SUMIFS('Invoice Register'!$G$6:$G$405,'Invoice Register'!$B$6:$B$405,B23,'Invoice Register'!$K$6:$K$405,"Approved"))</f>
        <v/>
      </c>
      <c r="H23" s="44" t="str">
        <f aca="false">IF(F23=0,"",MAX(0,F23-G23))</f>
        <v/>
      </c>
      <c r="I23" s="36"/>
      <c r="J23" s="36"/>
      <c r="K23" s="4"/>
      <c r="L23" s="5"/>
    </row>
    <row r="24" customFormat="false" ht="15.75" hidden="false" customHeight="true" outlineLevel="0" collapsed="false">
      <c r="B24" s="32"/>
      <c r="C24" s="32"/>
      <c r="D24" s="33"/>
      <c r="E24" s="32"/>
      <c r="F24" s="34" t="n">
        <v>0</v>
      </c>
      <c r="G24" s="43" t="str">
        <f aca="false">IF(F24=0,"",SUMIFS('Invoice Register'!$G$6:$G$405,'Invoice Register'!$B$6:$B$405,B24,'Invoice Register'!$K$6:$K$405,"Paid")+SUMIFS('Invoice Register'!$G$6:$G$405,'Invoice Register'!$B$6:$B$405,B24,'Invoice Register'!$K$6:$K$405,"Approved"))</f>
        <v/>
      </c>
      <c r="H24" s="44" t="str">
        <f aca="false">IF(F24=0,"",MAX(0,F24-G24))</f>
        <v/>
      </c>
      <c r="I24" s="32"/>
      <c r="J24" s="32"/>
      <c r="K24" s="33"/>
      <c r="L24" s="13"/>
    </row>
    <row r="25" customFormat="false" ht="15.75" hidden="false" customHeight="true" outlineLevel="0" collapsed="false">
      <c r="B25" s="36"/>
      <c r="C25" s="36"/>
      <c r="D25" s="4"/>
      <c r="E25" s="36"/>
      <c r="F25" s="37" t="n">
        <v>0</v>
      </c>
      <c r="G25" s="46" t="str">
        <f aca="false">IF(F25=0,"",SUMIFS('Invoice Register'!$G$6:$G$405,'Invoice Register'!$B$6:$B$405,B25,'Invoice Register'!$K$6:$K$405,"Paid")+SUMIFS('Invoice Register'!$G$6:$G$405,'Invoice Register'!$B$6:$B$405,B25,'Invoice Register'!$K$6:$K$405,"Approved"))</f>
        <v/>
      </c>
      <c r="H25" s="44" t="str">
        <f aca="false">IF(F25=0,"",MAX(0,F25-G25))</f>
        <v/>
      </c>
      <c r="I25" s="36"/>
      <c r="J25" s="36"/>
      <c r="K25" s="4"/>
      <c r="L25" s="5"/>
    </row>
    <row r="26" customFormat="false" ht="15.75" hidden="false" customHeight="true" outlineLevel="0" collapsed="false">
      <c r="B26" s="32"/>
      <c r="C26" s="32"/>
      <c r="D26" s="33"/>
      <c r="E26" s="32"/>
      <c r="F26" s="34" t="n">
        <v>0</v>
      </c>
      <c r="G26" s="43" t="str">
        <f aca="false">IF(F26=0,"",SUMIFS('Invoice Register'!$G$6:$G$405,'Invoice Register'!$B$6:$B$405,B26,'Invoice Register'!$K$6:$K$405,"Paid")+SUMIFS('Invoice Register'!$G$6:$G$405,'Invoice Register'!$B$6:$B$405,B26,'Invoice Register'!$K$6:$K$405,"Approved"))</f>
        <v/>
      </c>
      <c r="H26" s="44" t="str">
        <f aca="false">IF(F26=0,"",MAX(0,F26-G26))</f>
        <v/>
      </c>
      <c r="I26" s="32"/>
      <c r="J26" s="32"/>
      <c r="K26" s="33"/>
      <c r="L26" s="13"/>
    </row>
    <row r="27" customFormat="false" ht="15.75" hidden="false" customHeight="true" outlineLevel="0" collapsed="false">
      <c r="B27" s="36"/>
      <c r="C27" s="36"/>
      <c r="D27" s="4"/>
      <c r="E27" s="36"/>
      <c r="F27" s="37" t="n">
        <v>0</v>
      </c>
      <c r="G27" s="46" t="str">
        <f aca="false">IF(F27=0,"",SUMIFS('Invoice Register'!$G$6:$G$405,'Invoice Register'!$B$6:$B$405,B27,'Invoice Register'!$K$6:$K$405,"Paid")+SUMIFS('Invoice Register'!$G$6:$G$405,'Invoice Register'!$B$6:$B$405,B27,'Invoice Register'!$K$6:$K$405,"Approved"))</f>
        <v/>
      </c>
      <c r="H27" s="44" t="str">
        <f aca="false">IF(F27=0,"",MAX(0,F27-G27))</f>
        <v/>
      </c>
      <c r="I27" s="36"/>
      <c r="J27" s="36"/>
      <c r="K27" s="4"/>
      <c r="L27" s="5"/>
    </row>
    <row r="28" customFormat="false" ht="15.75" hidden="false" customHeight="true" outlineLevel="0" collapsed="false">
      <c r="B28" s="32"/>
      <c r="C28" s="32"/>
      <c r="D28" s="33"/>
      <c r="E28" s="32"/>
      <c r="F28" s="34" t="n">
        <v>0</v>
      </c>
      <c r="G28" s="43" t="str">
        <f aca="false">IF(F28=0,"",SUMIFS('Invoice Register'!$G$6:$G$405,'Invoice Register'!$B$6:$B$405,B28,'Invoice Register'!$K$6:$K$405,"Paid")+SUMIFS('Invoice Register'!$G$6:$G$405,'Invoice Register'!$B$6:$B$405,B28,'Invoice Register'!$K$6:$K$405,"Approved"))</f>
        <v/>
      </c>
      <c r="H28" s="44" t="str">
        <f aca="false">IF(F28=0,"",MAX(0,F28-G28))</f>
        <v/>
      </c>
      <c r="I28" s="32"/>
      <c r="J28" s="32"/>
      <c r="K28" s="33"/>
      <c r="L28" s="13"/>
    </row>
    <row r="29" customFormat="false" ht="15.75" hidden="false" customHeight="true" outlineLevel="0" collapsed="false">
      <c r="B29" s="36"/>
      <c r="C29" s="36"/>
      <c r="D29" s="4"/>
      <c r="E29" s="36"/>
      <c r="F29" s="37" t="n">
        <v>0</v>
      </c>
      <c r="G29" s="46" t="str">
        <f aca="false">IF(F29=0,"",SUMIFS('Invoice Register'!$G$6:$G$405,'Invoice Register'!$B$6:$B$405,B29,'Invoice Register'!$K$6:$K$405,"Paid")+SUMIFS('Invoice Register'!$G$6:$G$405,'Invoice Register'!$B$6:$B$405,B29,'Invoice Register'!$K$6:$K$405,"Approved"))</f>
        <v/>
      </c>
      <c r="H29" s="44" t="str">
        <f aca="false">IF(F29=0,"",MAX(0,F29-G29))</f>
        <v/>
      </c>
      <c r="I29" s="36"/>
      <c r="J29" s="36"/>
      <c r="K29" s="4"/>
      <c r="L29" s="5"/>
    </row>
    <row r="30" customFormat="false" ht="15.75" hidden="false" customHeight="true" outlineLevel="0" collapsed="false">
      <c r="B30" s="32"/>
      <c r="C30" s="32"/>
      <c r="D30" s="33"/>
      <c r="E30" s="32"/>
      <c r="F30" s="34" t="n">
        <v>0</v>
      </c>
      <c r="G30" s="43" t="str">
        <f aca="false">IF(F30=0,"",SUMIFS('Invoice Register'!$G$6:$G$405,'Invoice Register'!$B$6:$B$405,B30,'Invoice Register'!$K$6:$K$405,"Paid")+SUMIFS('Invoice Register'!$G$6:$G$405,'Invoice Register'!$B$6:$B$405,B30,'Invoice Register'!$K$6:$K$405,"Approved"))</f>
        <v/>
      </c>
      <c r="H30" s="44" t="str">
        <f aca="false">IF(F30=0,"",MAX(0,F30-G30))</f>
        <v/>
      </c>
      <c r="I30" s="32"/>
      <c r="J30" s="32"/>
      <c r="K30" s="33"/>
      <c r="L30" s="13"/>
    </row>
    <row r="31" customFormat="false" ht="15.75" hidden="false" customHeight="true" outlineLevel="0" collapsed="false">
      <c r="B31" s="36"/>
      <c r="C31" s="36"/>
      <c r="D31" s="4"/>
      <c r="E31" s="36"/>
      <c r="F31" s="37" t="n">
        <v>0</v>
      </c>
      <c r="G31" s="46" t="str">
        <f aca="false">IF(F31=0,"",SUMIFS('Invoice Register'!$G$6:$G$405,'Invoice Register'!$B$6:$B$405,B31,'Invoice Register'!$K$6:$K$405,"Paid")+SUMIFS('Invoice Register'!$G$6:$G$405,'Invoice Register'!$B$6:$B$405,B31,'Invoice Register'!$K$6:$K$405,"Approved"))</f>
        <v/>
      </c>
      <c r="H31" s="44" t="str">
        <f aca="false">IF(F31=0,"",MAX(0,F31-G31))</f>
        <v/>
      </c>
      <c r="I31" s="36"/>
      <c r="J31" s="36"/>
      <c r="K31" s="4"/>
      <c r="L31" s="5"/>
    </row>
    <row r="32" customFormat="false" ht="15.75" hidden="false" customHeight="true" outlineLevel="0" collapsed="false">
      <c r="B32" s="32"/>
      <c r="C32" s="32"/>
      <c r="D32" s="33"/>
      <c r="E32" s="32"/>
      <c r="F32" s="34" t="n">
        <v>0</v>
      </c>
      <c r="G32" s="43" t="str">
        <f aca="false">IF(F32=0,"",SUMIFS('Invoice Register'!$G$6:$G$405,'Invoice Register'!$B$6:$B$405,B32,'Invoice Register'!$K$6:$K$405,"Paid")+SUMIFS('Invoice Register'!$G$6:$G$405,'Invoice Register'!$B$6:$B$405,B32,'Invoice Register'!$K$6:$K$405,"Approved"))</f>
        <v/>
      </c>
      <c r="H32" s="44" t="str">
        <f aca="false">IF(F32=0,"",MAX(0,F32-G32))</f>
        <v/>
      </c>
      <c r="I32" s="32"/>
      <c r="J32" s="32"/>
      <c r="K32" s="33"/>
      <c r="L32" s="13"/>
    </row>
    <row r="33" customFormat="false" ht="15.75" hidden="false" customHeight="true" outlineLevel="0" collapsed="false">
      <c r="B33" s="36"/>
      <c r="C33" s="36"/>
      <c r="D33" s="4"/>
      <c r="E33" s="36"/>
      <c r="F33" s="37" t="n">
        <v>0</v>
      </c>
      <c r="G33" s="46" t="str">
        <f aca="false">IF(F33=0,"",SUMIFS('Invoice Register'!$G$6:$G$405,'Invoice Register'!$B$6:$B$405,B33,'Invoice Register'!$K$6:$K$405,"Paid")+SUMIFS('Invoice Register'!$G$6:$G$405,'Invoice Register'!$B$6:$B$405,B33,'Invoice Register'!$K$6:$K$405,"Approved"))</f>
        <v/>
      </c>
      <c r="H33" s="44" t="str">
        <f aca="false">IF(F33=0,"",MAX(0,F33-G33))</f>
        <v/>
      </c>
      <c r="I33" s="36"/>
      <c r="J33" s="36"/>
      <c r="K33" s="4"/>
      <c r="L33" s="5"/>
    </row>
    <row r="34" customFormat="false" ht="15.75" hidden="false" customHeight="true" outlineLevel="0" collapsed="false">
      <c r="B34" s="32"/>
      <c r="C34" s="32"/>
      <c r="D34" s="33"/>
      <c r="E34" s="32"/>
      <c r="F34" s="34" t="n">
        <v>0</v>
      </c>
      <c r="G34" s="43" t="str">
        <f aca="false">IF(F34=0,"",SUMIFS('Invoice Register'!$G$6:$G$405,'Invoice Register'!$B$6:$B$405,B34,'Invoice Register'!$K$6:$K$405,"Paid")+SUMIFS('Invoice Register'!$G$6:$G$405,'Invoice Register'!$B$6:$B$405,B34,'Invoice Register'!$K$6:$K$405,"Approved"))</f>
        <v/>
      </c>
      <c r="H34" s="44" t="str">
        <f aca="false">IF(F34=0,"",MAX(0,F34-G34))</f>
        <v/>
      </c>
      <c r="I34" s="32"/>
      <c r="J34" s="32"/>
      <c r="K34" s="33"/>
      <c r="L34" s="13"/>
    </row>
    <row r="35" customFormat="false" ht="15.75" hidden="false" customHeight="true" outlineLevel="0" collapsed="false">
      <c r="B35" s="36"/>
      <c r="C35" s="36"/>
      <c r="D35" s="4"/>
      <c r="E35" s="36"/>
      <c r="F35" s="37" t="n">
        <v>0</v>
      </c>
      <c r="G35" s="46" t="str">
        <f aca="false">IF(F35=0,"",SUMIFS('Invoice Register'!$G$6:$G$405,'Invoice Register'!$B$6:$B$405,B35,'Invoice Register'!$K$6:$K$405,"Paid")+SUMIFS('Invoice Register'!$G$6:$G$405,'Invoice Register'!$B$6:$B$405,B35,'Invoice Register'!$K$6:$K$405,"Approved"))</f>
        <v/>
      </c>
      <c r="H35" s="44" t="str">
        <f aca="false">IF(F35=0,"",MAX(0,F35-G35))</f>
        <v/>
      </c>
      <c r="I35" s="36"/>
      <c r="J35" s="36"/>
      <c r="K35" s="4"/>
      <c r="L35" s="5"/>
    </row>
    <row r="36" customFormat="false" ht="15.75" hidden="false" customHeight="true" outlineLevel="0" collapsed="false">
      <c r="B36" s="32"/>
      <c r="C36" s="32"/>
      <c r="D36" s="33"/>
      <c r="E36" s="32"/>
      <c r="F36" s="34" t="n">
        <v>0</v>
      </c>
      <c r="G36" s="43" t="str">
        <f aca="false">IF(F36=0,"",SUMIFS('Invoice Register'!$G$6:$G$405,'Invoice Register'!$B$6:$B$405,B36,'Invoice Register'!$K$6:$K$405,"Paid")+SUMIFS('Invoice Register'!$G$6:$G$405,'Invoice Register'!$B$6:$B$405,B36,'Invoice Register'!$K$6:$K$405,"Approved"))</f>
        <v/>
      </c>
      <c r="H36" s="44" t="str">
        <f aca="false">IF(F36=0,"",MAX(0,F36-G36))</f>
        <v/>
      </c>
      <c r="I36" s="32"/>
      <c r="J36" s="32"/>
      <c r="K36" s="33"/>
      <c r="L36" s="13"/>
    </row>
    <row r="37" customFormat="false" ht="15.75" hidden="false" customHeight="true" outlineLevel="0" collapsed="false">
      <c r="B37" s="36"/>
      <c r="C37" s="36"/>
      <c r="D37" s="4"/>
      <c r="E37" s="36"/>
      <c r="F37" s="37" t="n">
        <v>0</v>
      </c>
      <c r="G37" s="46" t="str">
        <f aca="false">IF(F37=0,"",SUMIFS('Invoice Register'!$G$6:$G$405,'Invoice Register'!$B$6:$B$405,B37,'Invoice Register'!$K$6:$K$405,"Paid")+SUMIFS('Invoice Register'!$G$6:$G$405,'Invoice Register'!$B$6:$B$405,B37,'Invoice Register'!$K$6:$K$405,"Approved"))</f>
        <v/>
      </c>
      <c r="H37" s="44" t="str">
        <f aca="false">IF(F37=0,"",MAX(0,F37-G37))</f>
        <v/>
      </c>
      <c r="I37" s="36"/>
      <c r="J37" s="36"/>
      <c r="K37" s="4"/>
      <c r="L37" s="5"/>
    </row>
    <row r="38" customFormat="false" ht="15.75" hidden="false" customHeight="true" outlineLevel="0" collapsed="false">
      <c r="B38" s="32"/>
      <c r="C38" s="32"/>
      <c r="D38" s="33"/>
      <c r="E38" s="32"/>
      <c r="F38" s="34" t="n">
        <v>0</v>
      </c>
      <c r="G38" s="43" t="str">
        <f aca="false">IF(F38=0,"",SUMIFS('Invoice Register'!$G$6:$G$405,'Invoice Register'!$B$6:$B$405,B38,'Invoice Register'!$K$6:$K$405,"Paid")+SUMIFS('Invoice Register'!$G$6:$G$405,'Invoice Register'!$B$6:$B$405,B38,'Invoice Register'!$K$6:$K$405,"Approved"))</f>
        <v/>
      </c>
      <c r="H38" s="44" t="str">
        <f aca="false">IF(F38=0,"",MAX(0,F38-G38))</f>
        <v/>
      </c>
      <c r="I38" s="32"/>
      <c r="J38" s="32"/>
      <c r="K38" s="33"/>
      <c r="L38" s="13"/>
    </row>
    <row r="39" customFormat="false" ht="15.75" hidden="false" customHeight="true" outlineLevel="0" collapsed="false">
      <c r="B39" s="36"/>
      <c r="C39" s="36"/>
      <c r="D39" s="4"/>
      <c r="E39" s="36"/>
      <c r="F39" s="37" t="n">
        <v>0</v>
      </c>
      <c r="G39" s="46" t="str">
        <f aca="false">IF(F39=0,"",SUMIFS('Invoice Register'!$G$6:$G$405,'Invoice Register'!$B$6:$B$405,B39,'Invoice Register'!$K$6:$K$405,"Paid")+SUMIFS('Invoice Register'!$G$6:$G$405,'Invoice Register'!$B$6:$B$405,B39,'Invoice Register'!$K$6:$K$405,"Approved"))</f>
        <v/>
      </c>
      <c r="H39" s="44" t="str">
        <f aca="false">IF(F39=0,"",MAX(0,F39-G39))</f>
        <v/>
      </c>
      <c r="I39" s="36"/>
      <c r="J39" s="36"/>
      <c r="K39" s="4"/>
      <c r="L39" s="5"/>
    </row>
    <row r="40" customFormat="false" ht="15.75" hidden="false" customHeight="true" outlineLevel="0" collapsed="false">
      <c r="B40" s="32"/>
      <c r="C40" s="32"/>
      <c r="D40" s="33"/>
      <c r="E40" s="32"/>
      <c r="F40" s="34" t="n">
        <v>0</v>
      </c>
      <c r="G40" s="43" t="str">
        <f aca="false">IF(F40=0,"",SUMIFS('Invoice Register'!$G$6:$G$405,'Invoice Register'!$B$6:$B$405,B40,'Invoice Register'!$K$6:$K$405,"Paid")+SUMIFS('Invoice Register'!$G$6:$G$405,'Invoice Register'!$B$6:$B$405,B40,'Invoice Register'!$K$6:$K$405,"Approved"))</f>
        <v/>
      </c>
      <c r="H40" s="44" t="str">
        <f aca="false">IF(F40=0,"",MAX(0,F40-G40))</f>
        <v/>
      </c>
      <c r="I40" s="32"/>
      <c r="J40" s="32"/>
      <c r="K40" s="33"/>
      <c r="L40" s="13"/>
    </row>
    <row r="41" customFormat="false" ht="15.75" hidden="false" customHeight="true" outlineLevel="0" collapsed="false">
      <c r="B41" s="36"/>
      <c r="C41" s="36"/>
      <c r="D41" s="4"/>
      <c r="E41" s="36"/>
      <c r="F41" s="37" t="n">
        <v>0</v>
      </c>
      <c r="G41" s="46" t="str">
        <f aca="false">IF(F41=0,"",SUMIFS('Invoice Register'!$G$6:$G$405,'Invoice Register'!$B$6:$B$405,B41,'Invoice Register'!$K$6:$K$405,"Paid")+SUMIFS('Invoice Register'!$G$6:$G$405,'Invoice Register'!$B$6:$B$405,B41,'Invoice Register'!$K$6:$K$405,"Approved"))</f>
        <v/>
      </c>
      <c r="H41" s="44" t="str">
        <f aca="false">IF(F41=0,"",MAX(0,F41-G41))</f>
        <v/>
      </c>
      <c r="I41" s="36"/>
      <c r="J41" s="36"/>
      <c r="K41" s="4"/>
      <c r="L41" s="5"/>
    </row>
    <row r="42" customFormat="false" ht="15.75" hidden="false" customHeight="true" outlineLevel="0" collapsed="false">
      <c r="B42" s="32"/>
      <c r="C42" s="32"/>
      <c r="D42" s="33"/>
      <c r="E42" s="32"/>
      <c r="F42" s="34" t="n">
        <v>0</v>
      </c>
      <c r="G42" s="43" t="str">
        <f aca="false">IF(F42=0,"",SUMIFS('Invoice Register'!$G$6:$G$405,'Invoice Register'!$B$6:$B$405,B42,'Invoice Register'!$K$6:$K$405,"Paid")+SUMIFS('Invoice Register'!$G$6:$G$405,'Invoice Register'!$B$6:$B$405,B42,'Invoice Register'!$K$6:$K$405,"Approved"))</f>
        <v/>
      </c>
      <c r="H42" s="44" t="str">
        <f aca="false">IF(F42=0,"",MAX(0,F42-G42))</f>
        <v/>
      </c>
      <c r="I42" s="32"/>
      <c r="J42" s="32"/>
      <c r="K42" s="33"/>
      <c r="L42" s="13"/>
    </row>
    <row r="43" customFormat="false" ht="15.75" hidden="false" customHeight="true" outlineLevel="0" collapsed="false">
      <c r="B43" s="36"/>
      <c r="C43" s="36"/>
      <c r="D43" s="4"/>
      <c r="E43" s="36"/>
      <c r="F43" s="37" t="n">
        <v>0</v>
      </c>
      <c r="G43" s="46" t="str">
        <f aca="false">IF(F43=0,"",SUMIFS('Invoice Register'!$G$6:$G$405,'Invoice Register'!$B$6:$B$405,B43,'Invoice Register'!$K$6:$K$405,"Paid")+SUMIFS('Invoice Register'!$G$6:$G$405,'Invoice Register'!$B$6:$B$405,B43,'Invoice Register'!$K$6:$K$405,"Approved"))</f>
        <v/>
      </c>
      <c r="H43" s="44" t="str">
        <f aca="false">IF(F43=0,"",MAX(0,F43-G43))</f>
        <v/>
      </c>
      <c r="I43" s="36"/>
      <c r="J43" s="36"/>
      <c r="K43" s="4"/>
      <c r="L43" s="5"/>
    </row>
    <row r="44" customFormat="false" ht="15.75" hidden="false" customHeight="true" outlineLevel="0" collapsed="false">
      <c r="B44" s="32"/>
      <c r="C44" s="32"/>
      <c r="D44" s="33"/>
      <c r="E44" s="32"/>
      <c r="F44" s="34" t="n">
        <v>0</v>
      </c>
      <c r="G44" s="43" t="str">
        <f aca="false">IF(F44=0,"",SUMIFS('Invoice Register'!$G$6:$G$405,'Invoice Register'!$B$6:$B$405,B44,'Invoice Register'!$K$6:$K$405,"Paid")+SUMIFS('Invoice Register'!$G$6:$G$405,'Invoice Register'!$B$6:$B$405,B44,'Invoice Register'!$K$6:$K$405,"Approved"))</f>
        <v/>
      </c>
      <c r="H44" s="44" t="str">
        <f aca="false">IF(F44=0,"",MAX(0,F44-G44))</f>
        <v/>
      </c>
      <c r="I44" s="32"/>
      <c r="J44" s="32"/>
      <c r="K44" s="33"/>
      <c r="L44" s="13"/>
    </row>
    <row r="45" customFormat="false" ht="15.75" hidden="false" customHeight="true" outlineLevel="0" collapsed="false">
      <c r="B45" s="36"/>
      <c r="C45" s="36"/>
      <c r="D45" s="4"/>
      <c r="E45" s="36"/>
      <c r="F45" s="37" t="n">
        <v>0</v>
      </c>
      <c r="G45" s="46" t="str">
        <f aca="false">IF(F45=0,"",SUMIFS('Invoice Register'!$G$6:$G$405,'Invoice Register'!$B$6:$B$405,B45,'Invoice Register'!$K$6:$K$405,"Paid")+SUMIFS('Invoice Register'!$G$6:$G$405,'Invoice Register'!$B$6:$B$405,B45,'Invoice Register'!$K$6:$K$405,"Approved"))</f>
        <v/>
      </c>
      <c r="H45" s="44" t="str">
        <f aca="false">IF(F45=0,"",MAX(0,F45-G45))</f>
        <v/>
      </c>
      <c r="I45" s="36"/>
      <c r="J45" s="36"/>
      <c r="K45" s="4"/>
      <c r="L45" s="5"/>
    </row>
    <row r="46" customFormat="false" ht="15.75" hidden="false" customHeight="true" outlineLevel="0" collapsed="false">
      <c r="B46" s="32"/>
      <c r="C46" s="32"/>
      <c r="D46" s="33"/>
      <c r="E46" s="32"/>
      <c r="F46" s="34" t="n">
        <v>0</v>
      </c>
      <c r="G46" s="43" t="str">
        <f aca="false">IF(F46=0,"",SUMIFS('Invoice Register'!$G$6:$G$405,'Invoice Register'!$B$6:$B$405,B46,'Invoice Register'!$K$6:$K$405,"Paid")+SUMIFS('Invoice Register'!$G$6:$G$405,'Invoice Register'!$B$6:$B$405,B46,'Invoice Register'!$K$6:$K$405,"Approved"))</f>
        <v/>
      </c>
      <c r="H46" s="44" t="str">
        <f aca="false">IF(F46=0,"",MAX(0,F46-G46))</f>
        <v/>
      </c>
      <c r="I46" s="32"/>
      <c r="J46" s="32"/>
      <c r="K46" s="33"/>
      <c r="L46" s="13"/>
    </row>
    <row r="47" customFormat="false" ht="15.75" hidden="false" customHeight="true" outlineLevel="0" collapsed="false">
      <c r="B47" s="36"/>
      <c r="C47" s="36"/>
      <c r="D47" s="4"/>
      <c r="E47" s="36"/>
      <c r="F47" s="37" t="n">
        <v>0</v>
      </c>
      <c r="G47" s="46" t="str">
        <f aca="false">IF(F47=0,"",SUMIFS('Invoice Register'!$G$6:$G$405,'Invoice Register'!$B$6:$B$405,B47,'Invoice Register'!$K$6:$K$405,"Paid")+SUMIFS('Invoice Register'!$G$6:$G$405,'Invoice Register'!$B$6:$B$405,B47,'Invoice Register'!$K$6:$K$405,"Approved"))</f>
        <v/>
      </c>
      <c r="H47" s="44" t="str">
        <f aca="false">IF(F47=0,"",MAX(0,F47-G47))</f>
        <v/>
      </c>
      <c r="I47" s="36"/>
      <c r="J47" s="36"/>
      <c r="K47" s="4"/>
      <c r="L47" s="5"/>
    </row>
    <row r="48" customFormat="false" ht="15.75" hidden="false" customHeight="true" outlineLevel="0" collapsed="false">
      <c r="B48" s="32"/>
      <c r="C48" s="32"/>
      <c r="D48" s="33"/>
      <c r="E48" s="32"/>
      <c r="F48" s="34" t="n">
        <v>0</v>
      </c>
      <c r="G48" s="43" t="str">
        <f aca="false">IF(F48=0,"",SUMIFS('Invoice Register'!$G$6:$G$405,'Invoice Register'!$B$6:$B$405,B48,'Invoice Register'!$K$6:$K$405,"Paid")+SUMIFS('Invoice Register'!$G$6:$G$405,'Invoice Register'!$B$6:$B$405,B48,'Invoice Register'!$K$6:$K$405,"Approved"))</f>
        <v/>
      </c>
      <c r="H48" s="44" t="str">
        <f aca="false">IF(F48=0,"",MAX(0,F48-G48))</f>
        <v/>
      </c>
      <c r="I48" s="32"/>
      <c r="J48" s="32"/>
      <c r="K48" s="33"/>
      <c r="L48" s="13"/>
    </row>
    <row r="49" customFormat="false" ht="15.75" hidden="false" customHeight="true" outlineLevel="0" collapsed="false">
      <c r="B49" s="36"/>
      <c r="C49" s="36"/>
      <c r="D49" s="4"/>
      <c r="E49" s="36"/>
      <c r="F49" s="37" t="n">
        <v>0</v>
      </c>
      <c r="G49" s="46" t="str">
        <f aca="false">IF(F49=0,"",SUMIFS('Invoice Register'!$G$6:$G$405,'Invoice Register'!$B$6:$B$405,B49,'Invoice Register'!$K$6:$K$405,"Paid")+SUMIFS('Invoice Register'!$G$6:$G$405,'Invoice Register'!$B$6:$B$405,B49,'Invoice Register'!$K$6:$K$405,"Approved"))</f>
        <v/>
      </c>
      <c r="H49" s="44" t="str">
        <f aca="false">IF(F49=0,"",MAX(0,F49-G49))</f>
        <v/>
      </c>
      <c r="I49" s="36"/>
      <c r="J49" s="36"/>
      <c r="K49" s="4"/>
      <c r="L49" s="5"/>
    </row>
    <row r="50" customFormat="false" ht="15.75" hidden="false" customHeight="true" outlineLevel="0" collapsed="false">
      <c r="B50" s="32"/>
      <c r="C50" s="32"/>
      <c r="D50" s="33"/>
      <c r="E50" s="32"/>
      <c r="F50" s="34" t="n">
        <v>0</v>
      </c>
      <c r="G50" s="43" t="str">
        <f aca="false">IF(F50=0,"",SUMIFS('Invoice Register'!$G$6:$G$405,'Invoice Register'!$B$6:$B$405,B50,'Invoice Register'!$K$6:$K$405,"Paid")+SUMIFS('Invoice Register'!$G$6:$G$405,'Invoice Register'!$B$6:$B$405,B50,'Invoice Register'!$K$6:$K$405,"Approved"))</f>
        <v/>
      </c>
      <c r="H50" s="44" t="str">
        <f aca="false">IF(F50=0,"",MAX(0,F50-G50))</f>
        <v/>
      </c>
      <c r="I50" s="32"/>
      <c r="J50" s="32"/>
      <c r="K50" s="33"/>
      <c r="L50" s="13"/>
    </row>
    <row r="51" customFormat="false" ht="15.75" hidden="false" customHeight="true" outlineLevel="0" collapsed="false">
      <c r="B51" s="36"/>
      <c r="C51" s="36"/>
      <c r="D51" s="4"/>
      <c r="E51" s="36"/>
      <c r="F51" s="37" t="n">
        <v>0</v>
      </c>
      <c r="G51" s="46" t="str">
        <f aca="false">IF(F51=0,"",SUMIFS('Invoice Register'!$G$6:$G$405,'Invoice Register'!$B$6:$B$405,B51,'Invoice Register'!$K$6:$K$405,"Paid")+SUMIFS('Invoice Register'!$G$6:$G$405,'Invoice Register'!$B$6:$B$405,B51,'Invoice Register'!$K$6:$K$405,"Approved"))</f>
        <v/>
      </c>
      <c r="H51" s="44" t="str">
        <f aca="false">IF(F51=0,"",MAX(0,F51-G51))</f>
        <v/>
      </c>
      <c r="I51" s="36"/>
      <c r="J51" s="36"/>
      <c r="K51" s="4"/>
      <c r="L51" s="5"/>
    </row>
    <row r="52" customFormat="false" ht="15.75" hidden="false" customHeight="true" outlineLevel="0" collapsed="false">
      <c r="B52" s="32"/>
      <c r="C52" s="32"/>
      <c r="D52" s="33"/>
      <c r="E52" s="32"/>
      <c r="F52" s="34" t="n">
        <v>0</v>
      </c>
      <c r="G52" s="43" t="str">
        <f aca="false">IF(F52=0,"",SUMIFS('Invoice Register'!$G$6:$G$405,'Invoice Register'!$B$6:$B$405,B52,'Invoice Register'!$K$6:$K$405,"Paid")+SUMIFS('Invoice Register'!$G$6:$G$405,'Invoice Register'!$B$6:$B$405,B52,'Invoice Register'!$K$6:$K$405,"Approved"))</f>
        <v/>
      </c>
      <c r="H52" s="44" t="str">
        <f aca="false">IF(F52=0,"",MAX(0,F52-G52))</f>
        <v/>
      </c>
      <c r="I52" s="32"/>
      <c r="J52" s="32"/>
      <c r="K52" s="33"/>
      <c r="L52" s="13"/>
    </row>
    <row r="53" customFormat="false" ht="15.75" hidden="false" customHeight="true" outlineLevel="0" collapsed="false">
      <c r="B53" s="36"/>
      <c r="C53" s="36"/>
      <c r="D53" s="4"/>
      <c r="E53" s="36"/>
      <c r="F53" s="37" t="n">
        <v>0</v>
      </c>
      <c r="G53" s="46" t="str">
        <f aca="false">IF(F53=0,"",SUMIFS('Invoice Register'!$G$6:$G$405,'Invoice Register'!$B$6:$B$405,B53,'Invoice Register'!$K$6:$K$405,"Paid")+SUMIFS('Invoice Register'!$G$6:$G$405,'Invoice Register'!$B$6:$B$405,B53,'Invoice Register'!$K$6:$K$405,"Approved"))</f>
        <v/>
      </c>
      <c r="H53" s="44" t="str">
        <f aca="false">IF(F53=0,"",MAX(0,F53-G53))</f>
        <v/>
      </c>
      <c r="I53" s="36"/>
      <c r="J53" s="36"/>
      <c r="K53" s="4"/>
      <c r="L53" s="5"/>
    </row>
    <row r="54" customFormat="false" ht="15.75" hidden="false" customHeight="true" outlineLevel="0" collapsed="false">
      <c r="B54" s="32"/>
      <c r="C54" s="32"/>
      <c r="D54" s="33"/>
      <c r="E54" s="32"/>
      <c r="F54" s="34" t="n">
        <v>0</v>
      </c>
      <c r="G54" s="43" t="str">
        <f aca="false">IF(F54=0,"",SUMIFS('Invoice Register'!$G$6:$G$405,'Invoice Register'!$B$6:$B$405,B54,'Invoice Register'!$K$6:$K$405,"Paid")+SUMIFS('Invoice Register'!$G$6:$G$405,'Invoice Register'!$B$6:$B$405,B54,'Invoice Register'!$K$6:$K$405,"Approved"))</f>
        <v/>
      </c>
      <c r="H54" s="44" t="str">
        <f aca="false">IF(F54=0,"",MAX(0,F54-G54))</f>
        <v/>
      </c>
      <c r="I54" s="32"/>
      <c r="J54" s="32"/>
      <c r="K54" s="33"/>
      <c r="L54" s="13"/>
    </row>
    <row r="55" customFormat="false" ht="15.75" hidden="false" customHeight="true" outlineLevel="0" collapsed="false">
      <c r="B55" s="36"/>
      <c r="C55" s="36"/>
      <c r="D55" s="4"/>
      <c r="E55" s="36"/>
      <c r="F55" s="37" t="n">
        <v>0</v>
      </c>
      <c r="G55" s="46" t="str">
        <f aca="false">IF(F55=0,"",SUMIFS('Invoice Register'!$G$6:$G$405,'Invoice Register'!$B$6:$B$405,B55,'Invoice Register'!$K$6:$K$405,"Paid")+SUMIFS('Invoice Register'!$G$6:$G$405,'Invoice Register'!$B$6:$B$405,B55,'Invoice Register'!$K$6:$K$405,"Approved"))</f>
        <v/>
      </c>
      <c r="H55" s="44" t="str">
        <f aca="false">IF(F55=0,"",MAX(0,F55-G55))</f>
        <v/>
      </c>
      <c r="I55" s="36"/>
      <c r="J55" s="36"/>
      <c r="K55" s="4"/>
      <c r="L55" s="5"/>
    </row>
    <row r="56" customFormat="false" ht="15.75" hidden="false" customHeight="true" outlineLevel="0" collapsed="false">
      <c r="B56" s="32"/>
      <c r="C56" s="32"/>
      <c r="D56" s="33"/>
      <c r="E56" s="32"/>
      <c r="F56" s="34" t="n">
        <v>0</v>
      </c>
      <c r="G56" s="43" t="str">
        <f aca="false">IF(F56=0,"",SUMIFS('Invoice Register'!$G$6:$G$405,'Invoice Register'!$B$6:$B$405,B56,'Invoice Register'!$K$6:$K$405,"Paid")+SUMIFS('Invoice Register'!$G$6:$G$405,'Invoice Register'!$B$6:$B$405,B56,'Invoice Register'!$K$6:$K$405,"Approved"))</f>
        <v/>
      </c>
      <c r="H56" s="44" t="str">
        <f aca="false">IF(F56=0,"",MAX(0,F56-G56))</f>
        <v/>
      </c>
      <c r="I56" s="32"/>
      <c r="J56" s="32"/>
      <c r="K56" s="33"/>
      <c r="L56" s="13"/>
    </row>
    <row r="57" customFormat="false" ht="15.75" hidden="false" customHeight="true" outlineLevel="0" collapsed="false">
      <c r="B57" s="36"/>
      <c r="C57" s="36"/>
      <c r="D57" s="4"/>
      <c r="E57" s="36"/>
      <c r="F57" s="37" t="n">
        <v>0</v>
      </c>
      <c r="G57" s="46" t="str">
        <f aca="false">IF(F57=0,"",SUMIFS('Invoice Register'!$G$6:$G$405,'Invoice Register'!$B$6:$B$405,B57,'Invoice Register'!$K$6:$K$405,"Paid")+SUMIFS('Invoice Register'!$G$6:$G$405,'Invoice Register'!$B$6:$B$405,B57,'Invoice Register'!$K$6:$K$405,"Approved"))</f>
        <v/>
      </c>
      <c r="H57" s="44" t="str">
        <f aca="false">IF(F57=0,"",MAX(0,F57-G57))</f>
        <v/>
      </c>
      <c r="I57" s="36"/>
      <c r="J57" s="36"/>
      <c r="K57" s="4"/>
      <c r="L57" s="5"/>
    </row>
    <row r="58" customFormat="false" ht="15.75" hidden="false" customHeight="true" outlineLevel="0" collapsed="false">
      <c r="B58" s="32"/>
      <c r="C58" s="32"/>
      <c r="D58" s="33"/>
      <c r="E58" s="32"/>
      <c r="F58" s="34" t="n">
        <v>0</v>
      </c>
      <c r="G58" s="43" t="str">
        <f aca="false">IF(F58=0,"",SUMIFS('Invoice Register'!$G$6:$G$405,'Invoice Register'!$B$6:$B$405,B58,'Invoice Register'!$K$6:$K$405,"Paid")+SUMIFS('Invoice Register'!$G$6:$G$405,'Invoice Register'!$B$6:$B$405,B58,'Invoice Register'!$K$6:$K$405,"Approved"))</f>
        <v/>
      </c>
      <c r="H58" s="44" t="str">
        <f aca="false">IF(F58=0,"",MAX(0,F58-G58))</f>
        <v/>
      </c>
      <c r="I58" s="32"/>
      <c r="J58" s="32"/>
      <c r="K58" s="33"/>
      <c r="L58" s="13"/>
    </row>
    <row r="59" customFormat="false" ht="15.75" hidden="false" customHeight="true" outlineLevel="0" collapsed="false">
      <c r="B59" s="36"/>
      <c r="C59" s="36"/>
      <c r="D59" s="4"/>
      <c r="E59" s="36"/>
      <c r="F59" s="37" t="n">
        <v>0</v>
      </c>
      <c r="G59" s="46" t="str">
        <f aca="false">IF(F59=0,"",SUMIFS('Invoice Register'!$G$6:$G$405,'Invoice Register'!$B$6:$B$405,B59,'Invoice Register'!$K$6:$K$405,"Paid")+SUMIFS('Invoice Register'!$G$6:$G$405,'Invoice Register'!$B$6:$B$405,B59,'Invoice Register'!$K$6:$K$405,"Approved"))</f>
        <v/>
      </c>
      <c r="H59" s="44" t="str">
        <f aca="false">IF(F59=0,"",MAX(0,F59-G59))</f>
        <v/>
      </c>
      <c r="I59" s="36"/>
      <c r="J59" s="36"/>
      <c r="K59" s="4"/>
      <c r="L59" s="5"/>
    </row>
    <row r="60" customFormat="false" ht="15.75" hidden="false" customHeight="true" outlineLevel="0" collapsed="false">
      <c r="B60" s="32"/>
      <c r="C60" s="32"/>
      <c r="D60" s="33"/>
      <c r="E60" s="32"/>
      <c r="F60" s="34" t="n">
        <v>0</v>
      </c>
      <c r="G60" s="43" t="str">
        <f aca="false">IF(F60=0,"",SUMIFS('Invoice Register'!$G$6:$G$405,'Invoice Register'!$B$6:$B$405,B60,'Invoice Register'!$K$6:$K$405,"Paid")+SUMIFS('Invoice Register'!$G$6:$G$405,'Invoice Register'!$B$6:$B$405,B60,'Invoice Register'!$K$6:$K$405,"Approved"))</f>
        <v/>
      </c>
      <c r="H60" s="44" t="str">
        <f aca="false">IF(F60=0,"",MAX(0,F60-G60))</f>
        <v/>
      </c>
      <c r="I60" s="32"/>
      <c r="J60" s="32"/>
      <c r="K60" s="33"/>
      <c r="L60" s="13"/>
    </row>
    <row r="61" customFormat="false" ht="15.75" hidden="false" customHeight="true" outlineLevel="0" collapsed="false">
      <c r="B61" s="36"/>
      <c r="C61" s="36"/>
      <c r="D61" s="4"/>
      <c r="E61" s="36"/>
      <c r="F61" s="37" t="n">
        <v>0</v>
      </c>
      <c r="G61" s="46" t="str">
        <f aca="false">IF(F61=0,"",SUMIFS('Invoice Register'!$G$6:$G$405,'Invoice Register'!$B$6:$B$405,B61,'Invoice Register'!$K$6:$K$405,"Paid")+SUMIFS('Invoice Register'!$G$6:$G$405,'Invoice Register'!$B$6:$B$405,B61,'Invoice Register'!$K$6:$K$405,"Approved"))</f>
        <v/>
      </c>
      <c r="H61" s="44" t="str">
        <f aca="false">IF(F61=0,"",MAX(0,F61-G61))</f>
        <v/>
      </c>
      <c r="I61" s="36"/>
      <c r="J61" s="36"/>
      <c r="K61" s="4"/>
      <c r="L61" s="5"/>
    </row>
    <row r="62" customFormat="false" ht="15.75" hidden="false" customHeight="true" outlineLevel="0" collapsed="false">
      <c r="B62" s="32"/>
      <c r="C62" s="32"/>
      <c r="D62" s="33"/>
      <c r="E62" s="32"/>
      <c r="F62" s="34" t="n">
        <v>0</v>
      </c>
      <c r="G62" s="43" t="str">
        <f aca="false">IF(F62=0,"",SUMIFS('Invoice Register'!$G$6:$G$405,'Invoice Register'!$B$6:$B$405,B62,'Invoice Register'!$K$6:$K$405,"Paid")+SUMIFS('Invoice Register'!$G$6:$G$405,'Invoice Register'!$B$6:$B$405,B62,'Invoice Register'!$K$6:$K$405,"Approved"))</f>
        <v/>
      </c>
      <c r="H62" s="44" t="str">
        <f aca="false">IF(F62=0,"",MAX(0,F62-G62))</f>
        <v/>
      </c>
      <c r="I62" s="32"/>
      <c r="J62" s="32"/>
      <c r="K62" s="33"/>
      <c r="L62" s="13"/>
    </row>
    <row r="63" customFormat="false" ht="15.75" hidden="false" customHeight="true" outlineLevel="0" collapsed="false">
      <c r="B63" s="36"/>
      <c r="C63" s="36"/>
      <c r="D63" s="4"/>
      <c r="E63" s="36"/>
      <c r="F63" s="37" t="n">
        <v>0</v>
      </c>
      <c r="G63" s="46" t="str">
        <f aca="false">IF(F63=0,"",SUMIFS('Invoice Register'!$G$6:$G$405,'Invoice Register'!$B$6:$B$405,B63,'Invoice Register'!$K$6:$K$405,"Paid")+SUMIFS('Invoice Register'!$G$6:$G$405,'Invoice Register'!$B$6:$B$405,B63,'Invoice Register'!$K$6:$K$405,"Approved"))</f>
        <v/>
      </c>
      <c r="H63" s="44" t="str">
        <f aca="false">IF(F63=0,"",MAX(0,F63-G63))</f>
        <v/>
      </c>
      <c r="I63" s="36"/>
      <c r="J63" s="36"/>
      <c r="K63" s="4"/>
      <c r="L63" s="5"/>
    </row>
    <row r="64" customFormat="false" ht="15.75" hidden="false" customHeight="true" outlineLevel="0" collapsed="false">
      <c r="B64" s="32"/>
      <c r="C64" s="32"/>
      <c r="D64" s="33"/>
      <c r="E64" s="32"/>
      <c r="F64" s="34" t="n">
        <v>0</v>
      </c>
      <c r="G64" s="43" t="str">
        <f aca="false">IF(F64=0,"",SUMIFS('Invoice Register'!$G$6:$G$405,'Invoice Register'!$B$6:$B$405,B64,'Invoice Register'!$K$6:$K$405,"Paid")+SUMIFS('Invoice Register'!$G$6:$G$405,'Invoice Register'!$B$6:$B$405,B64,'Invoice Register'!$K$6:$K$405,"Approved"))</f>
        <v/>
      </c>
      <c r="H64" s="44" t="str">
        <f aca="false">IF(F64=0,"",MAX(0,F64-G64))</f>
        <v/>
      </c>
      <c r="I64" s="32"/>
      <c r="J64" s="32"/>
      <c r="K64" s="33"/>
      <c r="L64" s="13"/>
    </row>
    <row r="65" customFormat="false" ht="15.75" hidden="false" customHeight="true" outlineLevel="0" collapsed="false">
      <c r="B65" s="36"/>
      <c r="C65" s="36"/>
      <c r="D65" s="4"/>
      <c r="E65" s="36"/>
      <c r="F65" s="37" t="n">
        <v>0</v>
      </c>
      <c r="G65" s="46" t="str">
        <f aca="false">IF(F65=0,"",SUMIFS('Invoice Register'!$G$6:$G$405,'Invoice Register'!$B$6:$B$405,B65,'Invoice Register'!$K$6:$K$405,"Paid")+SUMIFS('Invoice Register'!$G$6:$G$405,'Invoice Register'!$B$6:$B$405,B65,'Invoice Register'!$K$6:$K$405,"Approved"))</f>
        <v/>
      </c>
      <c r="H65" s="44" t="str">
        <f aca="false">IF(F65=0,"",MAX(0,F65-G65))</f>
        <v/>
      </c>
      <c r="I65" s="36"/>
      <c r="J65" s="36"/>
      <c r="K65" s="4"/>
      <c r="L65" s="5"/>
    </row>
    <row r="66" customFormat="false" ht="15.75" hidden="false" customHeight="true" outlineLevel="0" collapsed="false">
      <c r="B66" s="32"/>
      <c r="C66" s="32"/>
      <c r="D66" s="33"/>
      <c r="E66" s="32"/>
      <c r="F66" s="34" t="n">
        <v>0</v>
      </c>
      <c r="G66" s="43" t="str">
        <f aca="false">IF(F66=0,"",SUMIFS('Invoice Register'!$G$6:$G$405,'Invoice Register'!$B$6:$B$405,B66,'Invoice Register'!$K$6:$K$405,"Paid")+SUMIFS('Invoice Register'!$G$6:$G$405,'Invoice Register'!$B$6:$B$405,B66,'Invoice Register'!$K$6:$K$405,"Approved"))</f>
        <v/>
      </c>
      <c r="H66" s="44" t="str">
        <f aca="false">IF(F66=0,"",MAX(0,F66-G66))</f>
        <v/>
      </c>
      <c r="I66" s="32"/>
      <c r="J66" s="32"/>
      <c r="K66" s="33"/>
      <c r="L66" s="13"/>
    </row>
    <row r="67" customFormat="false" ht="15.75" hidden="false" customHeight="true" outlineLevel="0" collapsed="false">
      <c r="B67" s="36"/>
      <c r="C67" s="36"/>
      <c r="D67" s="4"/>
      <c r="E67" s="36"/>
      <c r="F67" s="37" t="n">
        <v>0</v>
      </c>
      <c r="G67" s="46" t="str">
        <f aca="false">IF(F67=0,"",SUMIFS('Invoice Register'!$G$6:$G$405,'Invoice Register'!$B$6:$B$405,B67,'Invoice Register'!$K$6:$K$405,"Paid")+SUMIFS('Invoice Register'!$G$6:$G$405,'Invoice Register'!$B$6:$B$405,B67,'Invoice Register'!$K$6:$K$405,"Approved"))</f>
        <v/>
      </c>
      <c r="H67" s="44" t="str">
        <f aca="false">IF(F67=0,"",MAX(0,F67-G67))</f>
        <v/>
      </c>
      <c r="I67" s="36"/>
      <c r="J67" s="36"/>
      <c r="K67" s="4"/>
      <c r="L67" s="5"/>
    </row>
    <row r="68" customFormat="false" ht="15.75" hidden="false" customHeight="true" outlineLevel="0" collapsed="false">
      <c r="B68" s="32"/>
      <c r="C68" s="32"/>
      <c r="D68" s="33"/>
      <c r="E68" s="32"/>
      <c r="F68" s="34" t="n">
        <v>0</v>
      </c>
      <c r="G68" s="43" t="str">
        <f aca="false">IF(F68=0,"",SUMIFS('Invoice Register'!$G$6:$G$405,'Invoice Register'!$B$6:$B$405,B68,'Invoice Register'!$K$6:$K$405,"Paid")+SUMIFS('Invoice Register'!$G$6:$G$405,'Invoice Register'!$B$6:$B$405,B68,'Invoice Register'!$K$6:$K$405,"Approved"))</f>
        <v/>
      </c>
      <c r="H68" s="44" t="str">
        <f aca="false">IF(F68=0,"",MAX(0,F68-G68))</f>
        <v/>
      </c>
      <c r="I68" s="32"/>
      <c r="J68" s="32"/>
      <c r="K68" s="33"/>
      <c r="L68" s="13"/>
    </row>
    <row r="69" customFormat="false" ht="15.75" hidden="false" customHeight="true" outlineLevel="0" collapsed="false">
      <c r="B69" s="36"/>
      <c r="C69" s="36"/>
      <c r="D69" s="4"/>
      <c r="E69" s="36"/>
      <c r="F69" s="37" t="n">
        <v>0</v>
      </c>
      <c r="G69" s="46" t="str">
        <f aca="false">IF(F69=0,"",SUMIFS('Invoice Register'!$G$6:$G$405,'Invoice Register'!$B$6:$B$405,B69,'Invoice Register'!$K$6:$K$405,"Paid")+SUMIFS('Invoice Register'!$G$6:$G$405,'Invoice Register'!$B$6:$B$405,B69,'Invoice Register'!$K$6:$K$405,"Approved"))</f>
        <v/>
      </c>
      <c r="H69" s="44" t="str">
        <f aca="false">IF(F69=0,"",MAX(0,F69-G69))</f>
        <v/>
      </c>
      <c r="I69" s="36"/>
      <c r="J69" s="36"/>
      <c r="K69" s="4"/>
      <c r="L69" s="5"/>
    </row>
    <row r="70" customFormat="false" ht="15.75" hidden="false" customHeight="true" outlineLevel="0" collapsed="false">
      <c r="B70" s="32"/>
      <c r="C70" s="32"/>
      <c r="D70" s="33"/>
      <c r="E70" s="32"/>
      <c r="F70" s="34" t="n">
        <v>0</v>
      </c>
      <c r="G70" s="43" t="str">
        <f aca="false">IF(F70=0,"",SUMIFS('Invoice Register'!$G$6:$G$405,'Invoice Register'!$B$6:$B$405,B70,'Invoice Register'!$K$6:$K$405,"Paid")+SUMIFS('Invoice Register'!$G$6:$G$405,'Invoice Register'!$B$6:$B$405,B70,'Invoice Register'!$K$6:$K$405,"Approved"))</f>
        <v/>
      </c>
      <c r="H70" s="44" t="str">
        <f aca="false">IF(F70=0,"",MAX(0,F70-G70))</f>
        <v/>
      </c>
      <c r="I70" s="32"/>
      <c r="J70" s="32"/>
      <c r="K70" s="33"/>
      <c r="L70" s="13"/>
    </row>
    <row r="71" customFormat="false" ht="15.75" hidden="false" customHeight="true" outlineLevel="0" collapsed="false">
      <c r="B71" s="36"/>
      <c r="C71" s="36"/>
      <c r="D71" s="4"/>
      <c r="E71" s="36"/>
      <c r="F71" s="37" t="n">
        <v>0</v>
      </c>
      <c r="G71" s="46" t="str">
        <f aca="false">IF(F71=0,"",SUMIFS('Invoice Register'!$G$6:$G$405,'Invoice Register'!$B$6:$B$405,B71,'Invoice Register'!$K$6:$K$405,"Paid")+SUMIFS('Invoice Register'!$G$6:$G$405,'Invoice Register'!$B$6:$B$405,B71,'Invoice Register'!$K$6:$K$405,"Approved"))</f>
        <v/>
      </c>
      <c r="H71" s="44" t="str">
        <f aca="false">IF(F71=0,"",MAX(0,F71-G71))</f>
        <v/>
      </c>
      <c r="I71" s="36"/>
      <c r="J71" s="36"/>
      <c r="K71" s="4"/>
      <c r="L71" s="5"/>
    </row>
    <row r="72" customFormat="false" ht="15.75" hidden="false" customHeight="true" outlineLevel="0" collapsed="false">
      <c r="B72" s="32"/>
      <c r="C72" s="32"/>
      <c r="D72" s="33"/>
      <c r="E72" s="32"/>
      <c r="F72" s="34" t="n">
        <v>0</v>
      </c>
      <c r="G72" s="43" t="str">
        <f aca="false">IF(F72=0,"",SUMIFS('Invoice Register'!$G$6:$G$405,'Invoice Register'!$B$6:$B$405,B72,'Invoice Register'!$K$6:$K$405,"Paid")+SUMIFS('Invoice Register'!$G$6:$G$405,'Invoice Register'!$B$6:$B$405,B72,'Invoice Register'!$K$6:$K$405,"Approved"))</f>
        <v/>
      </c>
      <c r="H72" s="44" t="str">
        <f aca="false">IF(F72=0,"",MAX(0,F72-G72))</f>
        <v/>
      </c>
      <c r="I72" s="32"/>
      <c r="J72" s="32"/>
      <c r="K72" s="33"/>
      <c r="L72" s="13"/>
    </row>
    <row r="73" customFormat="false" ht="15.75" hidden="false" customHeight="true" outlineLevel="0" collapsed="false">
      <c r="B73" s="36"/>
      <c r="C73" s="36"/>
      <c r="D73" s="4"/>
      <c r="E73" s="36"/>
      <c r="F73" s="37" t="n">
        <v>0</v>
      </c>
      <c r="G73" s="46" t="str">
        <f aca="false">IF(F73=0,"",SUMIFS('Invoice Register'!$G$6:$G$405,'Invoice Register'!$B$6:$B$405,B73,'Invoice Register'!$K$6:$K$405,"Paid")+SUMIFS('Invoice Register'!$G$6:$G$405,'Invoice Register'!$B$6:$B$405,B73,'Invoice Register'!$K$6:$K$405,"Approved"))</f>
        <v/>
      </c>
      <c r="H73" s="44" t="str">
        <f aca="false">IF(F73=0,"",MAX(0,F73-G73))</f>
        <v/>
      </c>
      <c r="I73" s="36"/>
      <c r="J73" s="36"/>
      <c r="K73" s="4"/>
      <c r="L73" s="5"/>
    </row>
    <row r="74" customFormat="false" ht="15.75" hidden="false" customHeight="true" outlineLevel="0" collapsed="false">
      <c r="B74" s="32"/>
      <c r="C74" s="32"/>
      <c r="D74" s="33"/>
      <c r="E74" s="32"/>
      <c r="F74" s="34" t="n">
        <v>0</v>
      </c>
      <c r="G74" s="43" t="str">
        <f aca="false">IF(F74=0,"",SUMIFS('Invoice Register'!$G$6:$G$405,'Invoice Register'!$B$6:$B$405,B74,'Invoice Register'!$K$6:$K$405,"Paid")+SUMIFS('Invoice Register'!$G$6:$G$405,'Invoice Register'!$B$6:$B$405,B74,'Invoice Register'!$K$6:$K$405,"Approved"))</f>
        <v/>
      </c>
      <c r="H74" s="44" t="str">
        <f aca="false">IF(F74=0,"",MAX(0,F74-G74))</f>
        <v/>
      </c>
      <c r="I74" s="32"/>
      <c r="J74" s="32"/>
      <c r="K74" s="33"/>
      <c r="L74" s="13"/>
    </row>
    <row r="75" customFormat="false" ht="15.75" hidden="false" customHeight="true" outlineLevel="0" collapsed="false">
      <c r="B75" s="36"/>
      <c r="C75" s="36"/>
      <c r="D75" s="4"/>
      <c r="E75" s="36"/>
      <c r="F75" s="37" t="n">
        <v>0</v>
      </c>
      <c r="G75" s="46" t="str">
        <f aca="false">IF(F75=0,"",SUMIFS('Invoice Register'!$G$6:$G$405,'Invoice Register'!$B$6:$B$405,B75,'Invoice Register'!$K$6:$K$405,"Paid")+SUMIFS('Invoice Register'!$G$6:$G$405,'Invoice Register'!$B$6:$B$405,B75,'Invoice Register'!$K$6:$K$405,"Approved"))</f>
        <v/>
      </c>
      <c r="H75" s="44" t="str">
        <f aca="false">IF(F75=0,"",MAX(0,F75-G75))</f>
        <v/>
      </c>
      <c r="I75" s="36"/>
      <c r="J75" s="36"/>
      <c r="K75" s="4"/>
      <c r="L75" s="5"/>
    </row>
    <row r="76" customFormat="false" ht="15.75" hidden="false" customHeight="true" outlineLevel="0" collapsed="false">
      <c r="B76" s="32"/>
      <c r="C76" s="32"/>
      <c r="D76" s="33"/>
      <c r="E76" s="32"/>
      <c r="F76" s="34" t="n">
        <v>0</v>
      </c>
      <c r="G76" s="43" t="str">
        <f aca="false">IF(F76=0,"",SUMIFS('Invoice Register'!$G$6:$G$405,'Invoice Register'!$B$6:$B$405,B76,'Invoice Register'!$K$6:$K$405,"Paid")+SUMIFS('Invoice Register'!$G$6:$G$405,'Invoice Register'!$B$6:$B$405,B76,'Invoice Register'!$K$6:$K$405,"Approved"))</f>
        <v/>
      </c>
      <c r="H76" s="44" t="str">
        <f aca="false">IF(F76=0,"",MAX(0,F76-G76))</f>
        <v/>
      </c>
      <c r="I76" s="32"/>
      <c r="J76" s="32"/>
      <c r="K76" s="33"/>
      <c r="L76" s="13"/>
    </row>
    <row r="77" customFormat="false" ht="15.75" hidden="false" customHeight="true" outlineLevel="0" collapsed="false">
      <c r="B77" s="36"/>
      <c r="C77" s="36"/>
      <c r="D77" s="4"/>
      <c r="E77" s="36"/>
      <c r="F77" s="37" t="n">
        <v>0</v>
      </c>
      <c r="G77" s="46" t="str">
        <f aca="false">IF(F77=0,"",SUMIFS('Invoice Register'!$G$6:$G$405,'Invoice Register'!$B$6:$B$405,B77,'Invoice Register'!$K$6:$K$405,"Paid")+SUMIFS('Invoice Register'!$G$6:$G$405,'Invoice Register'!$B$6:$B$405,B77,'Invoice Register'!$K$6:$K$405,"Approved"))</f>
        <v/>
      </c>
      <c r="H77" s="44" t="str">
        <f aca="false">IF(F77=0,"",MAX(0,F77-G77))</f>
        <v/>
      </c>
      <c r="I77" s="36"/>
      <c r="J77" s="36"/>
      <c r="K77" s="4"/>
      <c r="L77" s="5"/>
    </row>
    <row r="78" customFormat="false" ht="15.75" hidden="false" customHeight="true" outlineLevel="0" collapsed="false">
      <c r="B78" s="32"/>
      <c r="C78" s="32"/>
      <c r="D78" s="33"/>
      <c r="E78" s="32"/>
      <c r="F78" s="34" t="n">
        <v>0</v>
      </c>
      <c r="G78" s="43" t="str">
        <f aca="false">IF(F78=0,"",SUMIFS('Invoice Register'!$G$6:$G$405,'Invoice Register'!$B$6:$B$405,B78,'Invoice Register'!$K$6:$K$405,"Paid")+SUMIFS('Invoice Register'!$G$6:$G$405,'Invoice Register'!$B$6:$B$405,B78,'Invoice Register'!$K$6:$K$405,"Approved"))</f>
        <v/>
      </c>
      <c r="H78" s="44" t="str">
        <f aca="false">IF(F78=0,"",MAX(0,F78-G78))</f>
        <v/>
      </c>
      <c r="I78" s="32"/>
      <c r="J78" s="32"/>
      <c r="K78" s="33"/>
      <c r="L78" s="13"/>
    </row>
    <row r="79" customFormat="false" ht="15.75" hidden="false" customHeight="true" outlineLevel="0" collapsed="false">
      <c r="B79" s="36"/>
      <c r="C79" s="36"/>
      <c r="D79" s="4"/>
      <c r="E79" s="36"/>
      <c r="F79" s="37" t="n">
        <v>0</v>
      </c>
      <c r="G79" s="46" t="str">
        <f aca="false">IF(F79=0,"",SUMIFS('Invoice Register'!$G$6:$G$405,'Invoice Register'!$B$6:$B$405,B79,'Invoice Register'!$K$6:$K$405,"Paid")+SUMIFS('Invoice Register'!$G$6:$G$405,'Invoice Register'!$B$6:$B$405,B79,'Invoice Register'!$K$6:$K$405,"Approved"))</f>
        <v/>
      </c>
      <c r="H79" s="44" t="str">
        <f aca="false">IF(F79=0,"",MAX(0,F79-G79))</f>
        <v/>
      </c>
      <c r="I79" s="36"/>
      <c r="J79" s="36"/>
      <c r="K79" s="4"/>
      <c r="L79" s="5"/>
    </row>
    <row r="80" customFormat="false" ht="15.75" hidden="false" customHeight="true" outlineLevel="0" collapsed="false">
      <c r="B80" s="32"/>
      <c r="C80" s="32"/>
      <c r="D80" s="33"/>
      <c r="E80" s="32"/>
      <c r="F80" s="34" t="n">
        <v>0</v>
      </c>
      <c r="G80" s="43" t="str">
        <f aca="false">IF(F80=0,"",SUMIFS('Invoice Register'!$G$6:$G$405,'Invoice Register'!$B$6:$B$405,B80,'Invoice Register'!$K$6:$K$405,"Paid")+SUMIFS('Invoice Register'!$G$6:$G$405,'Invoice Register'!$B$6:$B$405,B80,'Invoice Register'!$K$6:$K$405,"Approved"))</f>
        <v/>
      </c>
      <c r="H80" s="44" t="str">
        <f aca="false">IF(F80=0,"",MAX(0,F80-G80))</f>
        <v/>
      </c>
      <c r="I80" s="32"/>
      <c r="J80" s="32"/>
      <c r="K80" s="33"/>
      <c r="L80" s="13"/>
    </row>
    <row r="81" customFormat="false" ht="15.75" hidden="false" customHeight="true" outlineLevel="0" collapsed="false">
      <c r="B81" s="36"/>
      <c r="C81" s="36"/>
      <c r="D81" s="4"/>
      <c r="E81" s="36"/>
      <c r="F81" s="37" t="n">
        <v>0</v>
      </c>
      <c r="G81" s="46" t="str">
        <f aca="false">IF(F81=0,"",SUMIFS('Invoice Register'!$G$6:$G$405,'Invoice Register'!$B$6:$B$405,B81,'Invoice Register'!$K$6:$K$405,"Paid")+SUMIFS('Invoice Register'!$G$6:$G$405,'Invoice Register'!$B$6:$B$405,B81,'Invoice Register'!$K$6:$K$405,"Approved"))</f>
        <v/>
      </c>
      <c r="H81" s="44" t="str">
        <f aca="false">IF(F81=0,"",MAX(0,F81-G81))</f>
        <v/>
      </c>
      <c r="I81" s="36"/>
      <c r="J81" s="36"/>
      <c r="K81" s="4"/>
      <c r="L81" s="5"/>
    </row>
    <row r="82" customFormat="false" ht="15.75" hidden="false" customHeight="true" outlineLevel="0" collapsed="false">
      <c r="B82" s="32"/>
      <c r="C82" s="32"/>
      <c r="D82" s="33"/>
      <c r="E82" s="32"/>
      <c r="F82" s="34" t="n">
        <v>0</v>
      </c>
      <c r="G82" s="43" t="str">
        <f aca="false">IF(F82=0,"",SUMIFS('Invoice Register'!$G$6:$G$405,'Invoice Register'!$B$6:$B$405,B82,'Invoice Register'!$K$6:$K$405,"Paid")+SUMIFS('Invoice Register'!$G$6:$G$405,'Invoice Register'!$B$6:$B$405,B82,'Invoice Register'!$K$6:$K$405,"Approved"))</f>
        <v/>
      </c>
      <c r="H82" s="44" t="str">
        <f aca="false">IF(F82=0,"",MAX(0,F82-G82))</f>
        <v/>
      </c>
      <c r="I82" s="32"/>
      <c r="J82" s="32"/>
      <c r="K82" s="33"/>
      <c r="L82" s="13"/>
    </row>
    <row r="83" customFormat="false" ht="15.75" hidden="false" customHeight="true" outlineLevel="0" collapsed="false">
      <c r="B83" s="36"/>
      <c r="C83" s="36"/>
      <c r="D83" s="4"/>
      <c r="E83" s="36"/>
      <c r="F83" s="37" t="n">
        <v>0</v>
      </c>
      <c r="G83" s="46" t="str">
        <f aca="false">IF(F83=0,"",SUMIFS('Invoice Register'!$G$6:$G$405,'Invoice Register'!$B$6:$B$405,B83,'Invoice Register'!$K$6:$K$405,"Paid")+SUMIFS('Invoice Register'!$G$6:$G$405,'Invoice Register'!$B$6:$B$405,B83,'Invoice Register'!$K$6:$K$405,"Approved"))</f>
        <v/>
      </c>
      <c r="H83" s="44" t="str">
        <f aca="false">IF(F83=0,"",MAX(0,F83-G83))</f>
        <v/>
      </c>
      <c r="I83" s="36"/>
      <c r="J83" s="36"/>
      <c r="K83" s="4"/>
      <c r="L83" s="5"/>
    </row>
    <row r="84" customFormat="false" ht="15.75" hidden="false" customHeight="true" outlineLevel="0" collapsed="false">
      <c r="B84" s="32"/>
      <c r="C84" s="32"/>
      <c r="D84" s="33"/>
      <c r="E84" s="32"/>
      <c r="F84" s="34" t="n">
        <v>0</v>
      </c>
      <c r="G84" s="43" t="str">
        <f aca="false">IF(F84=0,"",SUMIFS('Invoice Register'!$G$6:$G$405,'Invoice Register'!$B$6:$B$405,B84,'Invoice Register'!$K$6:$K$405,"Paid")+SUMIFS('Invoice Register'!$G$6:$G$405,'Invoice Register'!$B$6:$B$405,B84,'Invoice Register'!$K$6:$K$405,"Approved"))</f>
        <v/>
      </c>
      <c r="H84" s="44" t="str">
        <f aca="false">IF(F84=0,"",MAX(0,F84-G84))</f>
        <v/>
      </c>
      <c r="I84" s="32"/>
      <c r="J84" s="32"/>
      <c r="K84" s="33"/>
      <c r="L84" s="13"/>
    </row>
    <row r="85" customFormat="false" ht="15.75" hidden="false" customHeight="true" outlineLevel="0" collapsed="false">
      <c r="B85" s="36"/>
      <c r="C85" s="36"/>
      <c r="D85" s="4"/>
      <c r="E85" s="36"/>
      <c r="F85" s="37" t="n">
        <v>0</v>
      </c>
      <c r="G85" s="46" t="str">
        <f aca="false">IF(F85=0,"",SUMIFS('Invoice Register'!$G$6:$G$405,'Invoice Register'!$B$6:$B$405,B85,'Invoice Register'!$K$6:$K$405,"Paid")+SUMIFS('Invoice Register'!$G$6:$G$405,'Invoice Register'!$B$6:$B$405,B85,'Invoice Register'!$K$6:$K$405,"Approved"))</f>
        <v/>
      </c>
      <c r="H85" s="44" t="str">
        <f aca="false">IF(F85=0,"",MAX(0,F85-G85))</f>
        <v/>
      </c>
      <c r="I85" s="36"/>
      <c r="J85" s="36"/>
      <c r="K85" s="4"/>
      <c r="L85" s="5"/>
    </row>
    <row r="86" customFormat="false" ht="15.75" hidden="false" customHeight="true" outlineLevel="0" collapsed="false">
      <c r="B86" s="32"/>
      <c r="C86" s="32"/>
      <c r="D86" s="33"/>
      <c r="E86" s="32"/>
      <c r="F86" s="34" t="n">
        <v>0</v>
      </c>
      <c r="G86" s="43" t="str">
        <f aca="false">IF(F86=0,"",SUMIFS('Invoice Register'!$G$6:$G$405,'Invoice Register'!$B$6:$B$405,B86,'Invoice Register'!$K$6:$K$405,"Paid")+SUMIFS('Invoice Register'!$G$6:$G$405,'Invoice Register'!$B$6:$B$405,B86,'Invoice Register'!$K$6:$K$405,"Approved"))</f>
        <v/>
      </c>
      <c r="H86" s="44" t="str">
        <f aca="false">IF(F86=0,"",MAX(0,F86-G86))</f>
        <v/>
      </c>
      <c r="I86" s="32"/>
      <c r="J86" s="32"/>
      <c r="K86" s="33"/>
      <c r="L86" s="13"/>
    </row>
    <row r="87" customFormat="false" ht="15.75" hidden="false" customHeight="true" outlineLevel="0" collapsed="false">
      <c r="B87" s="36"/>
      <c r="C87" s="36"/>
      <c r="D87" s="4"/>
      <c r="E87" s="36"/>
      <c r="F87" s="37" t="n">
        <v>0</v>
      </c>
      <c r="G87" s="46" t="str">
        <f aca="false">IF(F87=0,"",SUMIFS('Invoice Register'!$G$6:$G$405,'Invoice Register'!$B$6:$B$405,B87,'Invoice Register'!$K$6:$K$405,"Paid")+SUMIFS('Invoice Register'!$G$6:$G$405,'Invoice Register'!$B$6:$B$405,B87,'Invoice Register'!$K$6:$K$405,"Approved"))</f>
        <v/>
      </c>
      <c r="H87" s="44" t="str">
        <f aca="false">IF(F87=0,"",MAX(0,F87-G87))</f>
        <v/>
      </c>
      <c r="I87" s="36"/>
      <c r="J87" s="36"/>
      <c r="K87" s="4"/>
      <c r="L87" s="5"/>
    </row>
    <row r="88" customFormat="false" ht="15.75" hidden="false" customHeight="true" outlineLevel="0" collapsed="false">
      <c r="B88" s="32"/>
      <c r="C88" s="32"/>
      <c r="D88" s="33"/>
      <c r="E88" s="32"/>
      <c r="F88" s="34" t="n">
        <v>0</v>
      </c>
      <c r="G88" s="43" t="str">
        <f aca="false">IF(F88=0,"",SUMIFS('Invoice Register'!$G$6:$G$405,'Invoice Register'!$B$6:$B$405,B88,'Invoice Register'!$K$6:$K$405,"Paid")+SUMIFS('Invoice Register'!$G$6:$G$405,'Invoice Register'!$B$6:$B$405,B88,'Invoice Register'!$K$6:$K$405,"Approved"))</f>
        <v/>
      </c>
      <c r="H88" s="44" t="str">
        <f aca="false">IF(F88=0,"",MAX(0,F88-G88))</f>
        <v/>
      </c>
      <c r="I88" s="32"/>
      <c r="J88" s="32"/>
      <c r="K88" s="33"/>
      <c r="L88" s="13"/>
    </row>
    <row r="89" customFormat="false" ht="15.75" hidden="false" customHeight="true" outlineLevel="0" collapsed="false">
      <c r="B89" s="36"/>
      <c r="C89" s="36"/>
      <c r="D89" s="4"/>
      <c r="E89" s="36"/>
      <c r="F89" s="37" t="n">
        <v>0</v>
      </c>
      <c r="G89" s="46" t="str">
        <f aca="false">IF(F89=0,"",SUMIFS('Invoice Register'!$G$6:$G$405,'Invoice Register'!$B$6:$B$405,B89,'Invoice Register'!$K$6:$K$405,"Paid")+SUMIFS('Invoice Register'!$G$6:$G$405,'Invoice Register'!$B$6:$B$405,B89,'Invoice Register'!$K$6:$K$405,"Approved"))</f>
        <v/>
      </c>
      <c r="H89" s="44" t="str">
        <f aca="false">IF(F89=0,"",MAX(0,F89-G89))</f>
        <v/>
      </c>
      <c r="I89" s="36"/>
      <c r="J89" s="36"/>
      <c r="K89" s="4"/>
      <c r="L89" s="5"/>
    </row>
    <row r="90" customFormat="false" ht="15.75" hidden="false" customHeight="true" outlineLevel="0" collapsed="false">
      <c r="B90" s="32"/>
      <c r="C90" s="32"/>
      <c r="D90" s="33"/>
      <c r="E90" s="32"/>
      <c r="F90" s="34" t="n">
        <v>0</v>
      </c>
      <c r="G90" s="43" t="str">
        <f aca="false">IF(F90=0,"",SUMIFS('Invoice Register'!$G$6:$G$405,'Invoice Register'!$B$6:$B$405,B90,'Invoice Register'!$K$6:$K$405,"Paid")+SUMIFS('Invoice Register'!$G$6:$G$405,'Invoice Register'!$B$6:$B$405,B90,'Invoice Register'!$K$6:$K$405,"Approved"))</f>
        <v/>
      </c>
      <c r="H90" s="44" t="str">
        <f aca="false">IF(F90=0,"",MAX(0,F90-G90))</f>
        <v/>
      </c>
      <c r="I90" s="32"/>
      <c r="J90" s="32"/>
      <c r="K90" s="33"/>
      <c r="L90" s="13"/>
    </row>
    <row r="91" customFormat="false" ht="15.75" hidden="false" customHeight="true" outlineLevel="0" collapsed="false">
      <c r="B91" s="36"/>
      <c r="C91" s="36"/>
      <c r="D91" s="4"/>
      <c r="E91" s="36"/>
      <c r="F91" s="37" t="n">
        <v>0</v>
      </c>
      <c r="G91" s="46" t="str">
        <f aca="false">IF(F91=0,"",SUMIFS('Invoice Register'!$G$6:$G$405,'Invoice Register'!$B$6:$B$405,B91,'Invoice Register'!$K$6:$K$405,"Paid")+SUMIFS('Invoice Register'!$G$6:$G$405,'Invoice Register'!$B$6:$B$405,B91,'Invoice Register'!$K$6:$K$405,"Approved"))</f>
        <v/>
      </c>
      <c r="H91" s="44" t="str">
        <f aca="false">IF(F91=0,"",MAX(0,F91-G91))</f>
        <v/>
      </c>
      <c r="I91" s="36"/>
      <c r="J91" s="36"/>
      <c r="K91" s="4"/>
      <c r="L91" s="5"/>
    </row>
    <row r="92" customFormat="false" ht="15.75" hidden="false" customHeight="true" outlineLevel="0" collapsed="false">
      <c r="B92" s="32"/>
      <c r="C92" s="32"/>
      <c r="D92" s="33"/>
      <c r="E92" s="32"/>
      <c r="F92" s="34" t="n">
        <v>0</v>
      </c>
      <c r="G92" s="43" t="str">
        <f aca="false">IF(F92=0,"",SUMIFS('Invoice Register'!$G$6:$G$405,'Invoice Register'!$B$6:$B$405,B92,'Invoice Register'!$K$6:$K$405,"Paid")+SUMIFS('Invoice Register'!$G$6:$G$405,'Invoice Register'!$B$6:$B$405,B92,'Invoice Register'!$K$6:$K$405,"Approved"))</f>
        <v/>
      </c>
      <c r="H92" s="44" t="str">
        <f aca="false">IF(F92=0,"",MAX(0,F92-G92))</f>
        <v/>
      </c>
      <c r="I92" s="32"/>
      <c r="J92" s="32"/>
      <c r="K92" s="33"/>
      <c r="L92" s="13"/>
    </row>
    <row r="93" customFormat="false" ht="15.75" hidden="false" customHeight="true" outlineLevel="0" collapsed="false">
      <c r="B93" s="36"/>
      <c r="C93" s="36"/>
      <c r="D93" s="4"/>
      <c r="E93" s="36"/>
      <c r="F93" s="37" t="n">
        <v>0</v>
      </c>
      <c r="G93" s="46" t="str">
        <f aca="false">IF(F93=0,"",SUMIFS('Invoice Register'!$G$6:$G$405,'Invoice Register'!$B$6:$B$405,B93,'Invoice Register'!$K$6:$K$405,"Paid")+SUMIFS('Invoice Register'!$G$6:$G$405,'Invoice Register'!$B$6:$B$405,B93,'Invoice Register'!$K$6:$K$405,"Approved"))</f>
        <v/>
      </c>
      <c r="H93" s="44" t="str">
        <f aca="false">IF(F93=0,"",MAX(0,F93-G93))</f>
        <v/>
      </c>
      <c r="I93" s="36"/>
      <c r="J93" s="36"/>
      <c r="K93" s="4"/>
      <c r="L93" s="5"/>
    </row>
    <row r="94" customFormat="false" ht="15.75" hidden="false" customHeight="true" outlineLevel="0" collapsed="false">
      <c r="B94" s="32"/>
      <c r="C94" s="32"/>
      <c r="D94" s="33"/>
      <c r="E94" s="32"/>
      <c r="F94" s="34" t="n">
        <v>0</v>
      </c>
      <c r="G94" s="43" t="str">
        <f aca="false">IF(F94=0,"",SUMIFS('Invoice Register'!$G$6:$G$405,'Invoice Register'!$B$6:$B$405,B94,'Invoice Register'!$K$6:$K$405,"Paid")+SUMIFS('Invoice Register'!$G$6:$G$405,'Invoice Register'!$B$6:$B$405,B94,'Invoice Register'!$K$6:$K$405,"Approved"))</f>
        <v/>
      </c>
      <c r="H94" s="44" t="str">
        <f aca="false">IF(F94=0,"",MAX(0,F94-G94))</f>
        <v/>
      </c>
      <c r="I94" s="32"/>
      <c r="J94" s="32"/>
      <c r="K94" s="33"/>
      <c r="L94" s="13"/>
    </row>
    <row r="95" customFormat="false" ht="15.75" hidden="false" customHeight="true" outlineLevel="0" collapsed="false">
      <c r="B95" s="36"/>
      <c r="C95" s="36"/>
      <c r="D95" s="4"/>
      <c r="E95" s="36"/>
      <c r="F95" s="37" t="n">
        <v>0</v>
      </c>
      <c r="G95" s="46" t="str">
        <f aca="false">IF(F95=0,"",SUMIFS('Invoice Register'!$G$6:$G$405,'Invoice Register'!$B$6:$B$405,B95,'Invoice Register'!$K$6:$K$405,"Paid")+SUMIFS('Invoice Register'!$G$6:$G$405,'Invoice Register'!$B$6:$B$405,B95,'Invoice Register'!$K$6:$K$405,"Approved"))</f>
        <v/>
      </c>
      <c r="H95" s="44" t="str">
        <f aca="false">IF(F95=0,"",MAX(0,F95-G95))</f>
        <v/>
      </c>
      <c r="I95" s="36"/>
      <c r="J95" s="36"/>
      <c r="K95" s="4"/>
      <c r="L95" s="5"/>
    </row>
    <row r="96" customFormat="false" ht="15.75" hidden="false" customHeight="true" outlineLevel="0" collapsed="false">
      <c r="B96" s="32"/>
      <c r="C96" s="32"/>
      <c r="D96" s="33"/>
      <c r="E96" s="32"/>
      <c r="F96" s="34" t="n">
        <v>0</v>
      </c>
      <c r="G96" s="43" t="str">
        <f aca="false">IF(F96=0,"",SUMIFS('Invoice Register'!$G$6:$G$405,'Invoice Register'!$B$6:$B$405,B96,'Invoice Register'!$K$6:$K$405,"Paid")+SUMIFS('Invoice Register'!$G$6:$G$405,'Invoice Register'!$B$6:$B$405,B96,'Invoice Register'!$K$6:$K$405,"Approved"))</f>
        <v/>
      </c>
      <c r="H96" s="44" t="str">
        <f aca="false">IF(F96=0,"",MAX(0,F96-G96))</f>
        <v/>
      </c>
      <c r="I96" s="32"/>
      <c r="J96" s="32"/>
      <c r="K96" s="33"/>
      <c r="L96" s="13"/>
    </row>
    <row r="97" customFormat="false" ht="15.75" hidden="false" customHeight="true" outlineLevel="0" collapsed="false">
      <c r="B97" s="36"/>
      <c r="C97" s="36"/>
      <c r="D97" s="4"/>
      <c r="E97" s="36"/>
      <c r="F97" s="37" t="n">
        <v>0</v>
      </c>
      <c r="G97" s="46" t="str">
        <f aca="false">IF(F97=0,"",SUMIFS('Invoice Register'!$G$6:$G$405,'Invoice Register'!$B$6:$B$405,B97,'Invoice Register'!$K$6:$K$405,"Paid")+SUMIFS('Invoice Register'!$G$6:$G$405,'Invoice Register'!$B$6:$B$405,B97,'Invoice Register'!$K$6:$K$405,"Approved"))</f>
        <v/>
      </c>
      <c r="H97" s="44" t="str">
        <f aca="false">IF(F97=0,"",MAX(0,F97-G97))</f>
        <v/>
      </c>
      <c r="I97" s="36"/>
      <c r="J97" s="36"/>
      <c r="K97" s="4"/>
      <c r="L97" s="5"/>
    </row>
    <row r="98" customFormat="false" ht="15.75" hidden="false" customHeight="true" outlineLevel="0" collapsed="false">
      <c r="B98" s="32"/>
      <c r="C98" s="32"/>
      <c r="D98" s="33"/>
      <c r="E98" s="32"/>
      <c r="F98" s="34" t="n">
        <v>0</v>
      </c>
      <c r="G98" s="43" t="str">
        <f aca="false">IF(F98=0,"",SUMIFS('Invoice Register'!$G$6:$G$405,'Invoice Register'!$B$6:$B$405,B98,'Invoice Register'!$K$6:$K$405,"Paid")+SUMIFS('Invoice Register'!$G$6:$G$405,'Invoice Register'!$B$6:$B$405,B98,'Invoice Register'!$K$6:$K$405,"Approved"))</f>
        <v/>
      </c>
      <c r="H98" s="44" t="str">
        <f aca="false">IF(F98=0,"",MAX(0,F98-G98))</f>
        <v/>
      </c>
      <c r="I98" s="32"/>
      <c r="J98" s="32"/>
      <c r="K98" s="33"/>
      <c r="L98" s="13"/>
    </row>
    <row r="99" customFormat="false" ht="15.75" hidden="false" customHeight="true" outlineLevel="0" collapsed="false">
      <c r="B99" s="36"/>
      <c r="C99" s="36"/>
      <c r="D99" s="4"/>
      <c r="E99" s="36"/>
      <c r="F99" s="37" t="n">
        <v>0</v>
      </c>
      <c r="G99" s="46" t="str">
        <f aca="false">IF(F99=0,"",SUMIFS('Invoice Register'!$G$6:$G$405,'Invoice Register'!$B$6:$B$405,B99,'Invoice Register'!$K$6:$K$405,"Paid")+SUMIFS('Invoice Register'!$G$6:$G$405,'Invoice Register'!$B$6:$B$405,B99,'Invoice Register'!$K$6:$K$405,"Approved"))</f>
        <v/>
      </c>
      <c r="H99" s="44" t="str">
        <f aca="false">IF(F99=0,"",MAX(0,F99-G99))</f>
        <v/>
      </c>
      <c r="I99" s="36"/>
      <c r="J99" s="36"/>
      <c r="K99" s="4"/>
      <c r="L99" s="5"/>
    </row>
    <row r="100" customFormat="false" ht="15.75" hidden="false" customHeight="true" outlineLevel="0" collapsed="false">
      <c r="B100" s="32"/>
      <c r="C100" s="32"/>
      <c r="D100" s="33"/>
      <c r="E100" s="32"/>
      <c r="F100" s="34" t="n">
        <v>0</v>
      </c>
      <c r="G100" s="43" t="str">
        <f aca="false">IF(F100=0,"",SUMIFS('Invoice Register'!$G$6:$G$405,'Invoice Register'!$B$6:$B$405,B100,'Invoice Register'!$K$6:$K$405,"Paid")+SUMIFS('Invoice Register'!$G$6:$G$405,'Invoice Register'!$B$6:$B$405,B100,'Invoice Register'!$K$6:$K$405,"Approved"))</f>
        <v/>
      </c>
      <c r="H100" s="44" t="str">
        <f aca="false">IF(F100=0,"",MAX(0,F100-G100))</f>
        <v/>
      </c>
      <c r="I100" s="32"/>
      <c r="J100" s="32"/>
      <c r="K100" s="33"/>
      <c r="L100" s="13"/>
    </row>
    <row r="101" customFormat="false" ht="15.75" hidden="false" customHeight="true" outlineLevel="0" collapsed="false">
      <c r="B101" s="36"/>
      <c r="C101" s="36"/>
      <c r="D101" s="4"/>
      <c r="E101" s="36"/>
      <c r="F101" s="37" t="n">
        <v>0</v>
      </c>
      <c r="G101" s="46" t="str">
        <f aca="false">IF(F101=0,"",SUMIFS('Invoice Register'!$G$6:$G$405,'Invoice Register'!$B$6:$B$405,B101,'Invoice Register'!$K$6:$K$405,"Paid")+SUMIFS('Invoice Register'!$G$6:$G$405,'Invoice Register'!$B$6:$B$405,B101,'Invoice Register'!$K$6:$K$405,"Approved"))</f>
        <v/>
      </c>
      <c r="H101" s="44" t="str">
        <f aca="false">IF(F101=0,"",MAX(0,F101-G101))</f>
        <v/>
      </c>
      <c r="I101" s="36"/>
      <c r="J101" s="36"/>
      <c r="K101" s="4"/>
      <c r="L101" s="5"/>
    </row>
    <row r="102" customFormat="false" ht="15.75" hidden="false" customHeight="true" outlineLevel="0" collapsed="false">
      <c r="B102" s="32"/>
      <c r="C102" s="32"/>
      <c r="D102" s="33"/>
      <c r="E102" s="32"/>
      <c r="F102" s="34" t="n">
        <v>0</v>
      </c>
      <c r="G102" s="43" t="str">
        <f aca="false">IF(F102=0,"",SUMIFS('Invoice Register'!$G$6:$G$405,'Invoice Register'!$B$6:$B$405,B102,'Invoice Register'!$K$6:$K$405,"Paid")+SUMIFS('Invoice Register'!$G$6:$G$405,'Invoice Register'!$B$6:$B$405,B102,'Invoice Register'!$K$6:$K$405,"Approved"))</f>
        <v/>
      </c>
      <c r="H102" s="44" t="str">
        <f aca="false">IF(F102=0,"",MAX(0,F102-G102))</f>
        <v/>
      </c>
      <c r="I102" s="32"/>
      <c r="J102" s="32"/>
      <c r="K102" s="33"/>
      <c r="L102" s="13"/>
    </row>
    <row r="103" customFormat="false" ht="15.75" hidden="false" customHeight="true" outlineLevel="0" collapsed="false">
      <c r="B103" s="36"/>
      <c r="C103" s="36"/>
      <c r="D103" s="4"/>
      <c r="E103" s="36"/>
      <c r="F103" s="37" t="n">
        <v>0</v>
      </c>
      <c r="G103" s="46" t="str">
        <f aca="false">IF(F103=0,"",SUMIFS('Invoice Register'!$G$6:$G$405,'Invoice Register'!$B$6:$B$405,B103,'Invoice Register'!$K$6:$K$405,"Paid")+SUMIFS('Invoice Register'!$G$6:$G$405,'Invoice Register'!$B$6:$B$405,B103,'Invoice Register'!$K$6:$K$405,"Approved"))</f>
        <v/>
      </c>
      <c r="H103" s="44" t="str">
        <f aca="false">IF(F103=0,"",MAX(0,F103-G103))</f>
        <v/>
      </c>
      <c r="I103" s="36"/>
      <c r="J103" s="36"/>
      <c r="K103" s="4"/>
      <c r="L103" s="5"/>
    </row>
    <row r="104" customFormat="false" ht="15.75" hidden="false" customHeight="true" outlineLevel="0" collapsed="false">
      <c r="B104" s="32"/>
      <c r="C104" s="32"/>
      <c r="D104" s="33"/>
      <c r="E104" s="32"/>
      <c r="F104" s="34" t="n">
        <v>0</v>
      </c>
      <c r="G104" s="43" t="str">
        <f aca="false">IF(F104=0,"",SUMIFS('Invoice Register'!$G$6:$G$405,'Invoice Register'!$B$6:$B$405,B104,'Invoice Register'!$K$6:$K$405,"Paid")+SUMIFS('Invoice Register'!$G$6:$G$405,'Invoice Register'!$B$6:$B$405,B104,'Invoice Register'!$K$6:$K$405,"Approved"))</f>
        <v/>
      </c>
      <c r="H104" s="44" t="str">
        <f aca="false">IF(F104=0,"",MAX(0,F104-G104))</f>
        <v/>
      </c>
      <c r="I104" s="32"/>
      <c r="J104" s="32"/>
      <c r="K104" s="33"/>
      <c r="L104" s="13"/>
    </row>
    <row r="105" customFormat="false" ht="15.75" hidden="false" customHeight="true" outlineLevel="0" collapsed="false">
      <c r="B105" s="36"/>
      <c r="C105" s="36"/>
      <c r="D105" s="4"/>
      <c r="E105" s="36"/>
      <c r="F105" s="37" t="n">
        <v>0</v>
      </c>
      <c r="G105" s="46" t="str">
        <f aca="false">IF(F105=0,"",SUMIFS('Invoice Register'!$G$6:$G$405,'Invoice Register'!$B$6:$B$405,B105,'Invoice Register'!$K$6:$K$405,"Paid")+SUMIFS('Invoice Register'!$G$6:$G$405,'Invoice Register'!$B$6:$B$405,B105,'Invoice Register'!$K$6:$K$405,"Approved"))</f>
        <v/>
      </c>
      <c r="H105" s="44" t="str">
        <f aca="false">IF(F105=0,"",MAX(0,F105-G105))</f>
        <v/>
      </c>
      <c r="I105" s="36"/>
      <c r="J105" s="36"/>
      <c r="K105" s="4"/>
      <c r="L105" s="5"/>
    </row>
    <row r="106" customFormat="false" ht="15.75" hidden="false" customHeight="true" outlineLevel="0" collapsed="false">
      <c r="B106" s="32"/>
      <c r="C106" s="32"/>
      <c r="D106" s="33"/>
      <c r="E106" s="32"/>
      <c r="F106" s="34" t="n">
        <v>0</v>
      </c>
      <c r="G106" s="43" t="str">
        <f aca="false">IF(F106=0,"",SUMIFS('Invoice Register'!$G$6:$G$405,'Invoice Register'!$B$6:$B$405,B106,'Invoice Register'!$K$6:$K$405,"Paid")+SUMIFS('Invoice Register'!$G$6:$G$405,'Invoice Register'!$B$6:$B$405,B106,'Invoice Register'!$K$6:$K$405,"Approved"))</f>
        <v/>
      </c>
      <c r="H106" s="44" t="str">
        <f aca="false">IF(F106=0,"",MAX(0,F106-G106))</f>
        <v/>
      </c>
      <c r="I106" s="32"/>
      <c r="J106" s="32"/>
      <c r="K106" s="33"/>
      <c r="L106" s="13"/>
    </row>
    <row r="107" customFormat="false" ht="15.75" hidden="false" customHeight="true" outlineLevel="0" collapsed="false">
      <c r="B107" s="36"/>
      <c r="C107" s="36"/>
      <c r="D107" s="4"/>
      <c r="E107" s="36"/>
      <c r="F107" s="37" t="n">
        <v>0</v>
      </c>
      <c r="G107" s="46" t="str">
        <f aca="false">IF(F107=0,"",SUMIFS('Invoice Register'!$G$6:$G$405,'Invoice Register'!$B$6:$B$405,B107,'Invoice Register'!$K$6:$K$405,"Paid")+SUMIFS('Invoice Register'!$G$6:$G$405,'Invoice Register'!$B$6:$B$405,B107,'Invoice Register'!$K$6:$K$405,"Approved"))</f>
        <v/>
      </c>
      <c r="H107" s="44" t="str">
        <f aca="false">IF(F107=0,"",MAX(0,F107-G107))</f>
        <v/>
      </c>
      <c r="I107" s="36"/>
      <c r="J107" s="36"/>
      <c r="K107" s="4"/>
      <c r="L107" s="5"/>
    </row>
    <row r="108" customFormat="false" ht="15.75" hidden="false" customHeight="true" outlineLevel="0" collapsed="false">
      <c r="B108" s="32"/>
      <c r="C108" s="32"/>
      <c r="D108" s="33"/>
      <c r="E108" s="32"/>
      <c r="F108" s="34" t="n">
        <v>0</v>
      </c>
      <c r="G108" s="43" t="str">
        <f aca="false">IF(F108=0,"",SUMIFS('Invoice Register'!$G$6:$G$405,'Invoice Register'!$B$6:$B$405,B108,'Invoice Register'!$K$6:$K$405,"Paid")+SUMIFS('Invoice Register'!$G$6:$G$405,'Invoice Register'!$B$6:$B$405,B108,'Invoice Register'!$K$6:$K$405,"Approved"))</f>
        <v/>
      </c>
      <c r="H108" s="44" t="str">
        <f aca="false">IF(F108=0,"",MAX(0,F108-G108))</f>
        <v/>
      </c>
      <c r="I108" s="32"/>
      <c r="J108" s="32"/>
      <c r="K108" s="33"/>
      <c r="L108" s="13"/>
    </row>
    <row r="109" customFormat="false" ht="15.75" hidden="false" customHeight="true" outlineLevel="0" collapsed="false">
      <c r="B109" s="36"/>
      <c r="C109" s="36"/>
      <c r="D109" s="4"/>
      <c r="E109" s="36"/>
      <c r="F109" s="37" t="n">
        <v>0</v>
      </c>
      <c r="G109" s="46" t="str">
        <f aca="false">IF(F109=0,"",SUMIFS('Invoice Register'!$G$6:$G$405,'Invoice Register'!$B$6:$B$405,B109,'Invoice Register'!$K$6:$K$405,"Paid")+SUMIFS('Invoice Register'!$G$6:$G$405,'Invoice Register'!$B$6:$B$405,B109,'Invoice Register'!$K$6:$K$405,"Approved"))</f>
        <v/>
      </c>
      <c r="H109" s="44" t="str">
        <f aca="false">IF(F109=0,"",MAX(0,F109-G109))</f>
        <v/>
      </c>
      <c r="I109" s="36"/>
      <c r="J109" s="36"/>
      <c r="K109" s="4"/>
      <c r="L109" s="5"/>
    </row>
    <row r="110" customFormat="false" ht="15.75" hidden="false" customHeight="true" outlineLevel="0" collapsed="false">
      <c r="B110" s="32"/>
      <c r="C110" s="32"/>
      <c r="D110" s="33"/>
      <c r="E110" s="32"/>
      <c r="F110" s="34" t="n">
        <v>0</v>
      </c>
      <c r="G110" s="43" t="str">
        <f aca="false">IF(F110=0,"",SUMIFS('Invoice Register'!$G$6:$G$405,'Invoice Register'!$B$6:$B$405,B110,'Invoice Register'!$K$6:$K$405,"Paid")+SUMIFS('Invoice Register'!$G$6:$G$405,'Invoice Register'!$B$6:$B$405,B110,'Invoice Register'!$K$6:$K$405,"Approved"))</f>
        <v/>
      </c>
      <c r="H110" s="44" t="str">
        <f aca="false">IF(F110=0,"",MAX(0,F110-G110))</f>
        <v/>
      </c>
      <c r="I110" s="32"/>
      <c r="J110" s="32"/>
      <c r="K110" s="33"/>
      <c r="L110" s="13"/>
    </row>
    <row r="111" customFormat="false" ht="15.75" hidden="false" customHeight="true" outlineLevel="0" collapsed="false">
      <c r="B111" s="36"/>
      <c r="C111" s="36"/>
      <c r="D111" s="4"/>
      <c r="E111" s="36"/>
      <c r="F111" s="37" t="n">
        <v>0</v>
      </c>
      <c r="G111" s="46" t="str">
        <f aca="false">IF(F111=0,"",SUMIFS('Invoice Register'!$G$6:$G$405,'Invoice Register'!$B$6:$B$405,B111,'Invoice Register'!$K$6:$K$405,"Paid")+SUMIFS('Invoice Register'!$G$6:$G$405,'Invoice Register'!$B$6:$B$405,B111,'Invoice Register'!$K$6:$K$405,"Approved"))</f>
        <v/>
      </c>
      <c r="H111" s="44" t="str">
        <f aca="false">IF(F111=0,"",MAX(0,F111-G111))</f>
        <v/>
      </c>
      <c r="I111" s="36"/>
      <c r="J111" s="36"/>
      <c r="K111" s="4"/>
      <c r="L111" s="5"/>
    </row>
    <row r="112" customFormat="false" ht="15.75" hidden="false" customHeight="true" outlineLevel="0" collapsed="false">
      <c r="B112" s="32"/>
      <c r="C112" s="32"/>
      <c r="D112" s="33"/>
      <c r="E112" s="32"/>
      <c r="F112" s="34" t="n">
        <v>0</v>
      </c>
      <c r="G112" s="43" t="str">
        <f aca="false">IF(F112=0,"",SUMIFS('Invoice Register'!$G$6:$G$405,'Invoice Register'!$B$6:$B$405,B112,'Invoice Register'!$K$6:$K$405,"Paid")+SUMIFS('Invoice Register'!$G$6:$G$405,'Invoice Register'!$B$6:$B$405,B112,'Invoice Register'!$K$6:$K$405,"Approved"))</f>
        <v/>
      </c>
      <c r="H112" s="44" t="str">
        <f aca="false">IF(F112=0,"",MAX(0,F112-G112))</f>
        <v/>
      </c>
      <c r="I112" s="32"/>
      <c r="J112" s="32"/>
      <c r="K112" s="33"/>
      <c r="L112" s="13"/>
    </row>
    <row r="113" customFormat="false" ht="15.75" hidden="false" customHeight="true" outlineLevel="0" collapsed="false">
      <c r="B113" s="36"/>
      <c r="C113" s="36"/>
      <c r="D113" s="4"/>
      <c r="E113" s="36"/>
      <c r="F113" s="37" t="n">
        <v>0</v>
      </c>
      <c r="G113" s="46" t="str">
        <f aca="false">IF(F113=0,"",SUMIFS('Invoice Register'!$G$6:$G$405,'Invoice Register'!$B$6:$B$405,B113,'Invoice Register'!$K$6:$K$405,"Paid")+SUMIFS('Invoice Register'!$G$6:$G$405,'Invoice Register'!$B$6:$B$405,B113,'Invoice Register'!$K$6:$K$405,"Approved"))</f>
        <v/>
      </c>
      <c r="H113" s="44" t="str">
        <f aca="false">IF(F113=0,"",MAX(0,F113-G113))</f>
        <v/>
      </c>
      <c r="I113" s="36"/>
      <c r="J113" s="36"/>
      <c r="K113" s="4"/>
      <c r="L113" s="5"/>
    </row>
    <row r="114" customFormat="false" ht="15.75" hidden="false" customHeight="true" outlineLevel="0" collapsed="false">
      <c r="B114" s="32"/>
      <c r="C114" s="32"/>
      <c r="D114" s="33"/>
      <c r="E114" s="32"/>
      <c r="F114" s="34" t="n">
        <v>0</v>
      </c>
      <c r="G114" s="43" t="str">
        <f aca="false">IF(F114=0,"",SUMIFS('Invoice Register'!$G$6:$G$405,'Invoice Register'!$B$6:$B$405,B114,'Invoice Register'!$K$6:$K$405,"Paid")+SUMIFS('Invoice Register'!$G$6:$G$405,'Invoice Register'!$B$6:$B$405,B114,'Invoice Register'!$K$6:$K$405,"Approved"))</f>
        <v/>
      </c>
      <c r="H114" s="44" t="str">
        <f aca="false">IF(F114=0,"",MAX(0,F114-G114))</f>
        <v/>
      </c>
      <c r="I114" s="32"/>
      <c r="J114" s="32"/>
      <c r="K114" s="33"/>
      <c r="L114" s="13"/>
    </row>
    <row r="115" customFormat="false" ht="15.75" hidden="false" customHeight="true" outlineLevel="0" collapsed="false">
      <c r="B115" s="36"/>
      <c r="C115" s="36"/>
      <c r="D115" s="4"/>
      <c r="E115" s="36"/>
      <c r="F115" s="37" t="n">
        <v>0</v>
      </c>
      <c r="G115" s="46" t="str">
        <f aca="false">IF(F115=0,"",SUMIFS('Invoice Register'!$G$6:$G$405,'Invoice Register'!$B$6:$B$405,B115,'Invoice Register'!$K$6:$K$405,"Paid")+SUMIFS('Invoice Register'!$G$6:$G$405,'Invoice Register'!$B$6:$B$405,B115,'Invoice Register'!$K$6:$K$405,"Approved"))</f>
        <v/>
      </c>
      <c r="H115" s="44" t="str">
        <f aca="false">IF(F115=0,"",MAX(0,F115-G115))</f>
        <v/>
      </c>
      <c r="I115" s="36"/>
      <c r="J115" s="36"/>
      <c r="K115" s="4"/>
      <c r="L115" s="5"/>
    </row>
    <row r="116" customFormat="false" ht="15.75" hidden="false" customHeight="true" outlineLevel="0" collapsed="false">
      <c r="B116" s="32"/>
      <c r="C116" s="32"/>
      <c r="D116" s="33"/>
      <c r="E116" s="32"/>
      <c r="F116" s="34" t="n">
        <v>0</v>
      </c>
      <c r="G116" s="43" t="str">
        <f aca="false">IF(F116=0,"",SUMIFS('Invoice Register'!$G$6:$G$405,'Invoice Register'!$B$6:$B$405,B116,'Invoice Register'!$K$6:$K$405,"Paid")+SUMIFS('Invoice Register'!$G$6:$G$405,'Invoice Register'!$B$6:$B$405,B116,'Invoice Register'!$K$6:$K$405,"Approved"))</f>
        <v/>
      </c>
      <c r="H116" s="44" t="str">
        <f aca="false">IF(F116=0,"",MAX(0,F116-G116))</f>
        <v/>
      </c>
      <c r="I116" s="32"/>
      <c r="J116" s="32"/>
      <c r="K116" s="33"/>
      <c r="L116" s="13"/>
    </row>
    <row r="117" customFormat="false" ht="15.75" hidden="false" customHeight="true" outlineLevel="0" collapsed="false">
      <c r="B117" s="36"/>
      <c r="C117" s="36"/>
      <c r="D117" s="4"/>
      <c r="E117" s="36"/>
      <c r="F117" s="37" t="n">
        <v>0</v>
      </c>
      <c r="G117" s="46" t="str">
        <f aca="false">IF(F117=0,"",SUMIFS('Invoice Register'!$G$6:$G$405,'Invoice Register'!$B$6:$B$405,B117,'Invoice Register'!$K$6:$K$405,"Paid")+SUMIFS('Invoice Register'!$G$6:$G$405,'Invoice Register'!$B$6:$B$405,B117,'Invoice Register'!$K$6:$K$405,"Approved"))</f>
        <v/>
      </c>
      <c r="H117" s="44" t="str">
        <f aca="false">IF(F117=0,"",MAX(0,F117-G117))</f>
        <v/>
      </c>
      <c r="I117" s="36"/>
      <c r="J117" s="36"/>
      <c r="K117" s="4"/>
      <c r="L117" s="5"/>
    </row>
    <row r="118" customFormat="false" ht="15.75" hidden="false" customHeight="true" outlineLevel="0" collapsed="false">
      <c r="B118" s="32"/>
      <c r="C118" s="32"/>
      <c r="D118" s="33"/>
      <c r="E118" s="32"/>
      <c r="F118" s="34" t="n">
        <v>0</v>
      </c>
      <c r="G118" s="43" t="str">
        <f aca="false">IF(F118=0,"",SUMIFS('Invoice Register'!$G$6:$G$405,'Invoice Register'!$B$6:$B$405,B118,'Invoice Register'!$K$6:$K$405,"Paid")+SUMIFS('Invoice Register'!$G$6:$G$405,'Invoice Register'!$B$6:$B$405,B118,'Invoice Register'!$K$6:$K$405,"Approved"))</f>
        <v/>
      </c>
      <c r="H118" s="44" t="str">
        <f aca="false">IF(F118=0,"",MAX(0,F118-G118))</f>
        <v/>
      </c>
      <c r="I118" s="32"/>
      <c r="J118" s="32"/>
      <c r="K118" s="33"/>
      <c r="L118" s="13"/>
    </row>
    <row r="119" customFormat="false" ht="15.75" hidden="false" customHeight="true" outlineLevel="0" collapsed="false">
      <c r="B119" s="36"/>
      <c r="C119" s="36"/>
      <c r="D119" s="4"/>
      <c r="E119" s="36"/>
      <c r="F119" s="37" t="n">
        <v>0</v>
      </c>
      <c r="G119" s="46" t="str">
        <f aca="false">IF(F119=0,"",SUMIFS('Invoice Register'!$G$6:$G$405,'Invoice Register'!$B$6:$B$405,B119,'Invoice Register'!$K$6:$K$405,"Paid")+SUMIFS('Invoice Register'!$G$6:$G$405,'Invoice Register'!$B$6:$B$405,B119,'Invoice Register'!$K$6:$K$405,"Approved"))</f>
        <v/>
      </c>
      <c r="H119" s="44" t="str">
        <f aca="false">IF(F119=0,"",MAX(0,F119-G119))</f>
        <v/>
      </c>
      <c r="I119" s="36"/>
      <c r="J119" s="36"/>
      <c r="K119" s="4"/>
      <c r="L119" s="5"/>
    </row>
    <row r="120" customFormat="false" ht="15.75" hidden="false" customHeight="true" outlineLevel="0" collapsed="false">
      <c r="B120" s="32"/>
      <c r="C120" s="32"/>
      <c r="D120" s="33"/>
      <c r="E120" s="32"/>
      <c r="F120" s="34" t="n">
        <v>0</v>
      </c>
      <c r="G120" s="43" t="str">
        <f aca="false">IF(F120=0,"",SUMIFS('Invoice Register'!$G$6:$G$405,'Invoice Register'!$B$6:$B$405,B120,'Invoice Register'!$K$6:$K$405,"Paid")+SUMIFS('Invoice Register'!$G$6:$G$405,'Invoice Register'!$B$6:$B$405,B120,'Invoice Register'!$K$6:$K$405,"Approved"))</f>
        <v/>
      </c>
      <c r="H120" s="44" t="str">
        <f aca="false">IF(F120=0,"",MAX(0,F120-G120))</f>
        <v/>
      </c>
      <c r="I120" s="32"/>
      <c r="J120" s="32"/>
      <c r="K120" s="33"/>
      <c r="L120" s="13"/>
    </row>
    <row r="121" customFormat="false" ht="15.75" hidden="false" customHeight="true" outlineLevel="0" collapsed="false">
      <c r="B121" s="36"/>
      <c r="C121" s="36"/>
      <c r="D121" s="4"/>
      <c r="E121" s="36"/>
      <c r="F121" s="37" t="n">
        <v>0</v>
      </c>
      <c r="G121" s="46" t="str">
        <f aca="false">IF(F121=0,"",SUMIFS('Invoice Register'!$G$6:$G$405,'Invoice Register'!$B$6:$B$405,B121,'Invoice Register'!$K$6:$K$405,"Paid")+SUMIFS('Invoice Register'!$G$6:$G$405,'Invoice Register'!$B$6:$B$405,B121,'Invoice Register'!$K$6:$K$405,"Approved"))</f>
        <v/>
      </c>
      <c r="H121" s="44" t="str">
        <f aca="false">IF(F121=0,"",MAX(0,F121-G121))</f>
        <v/>
      </c>
      <c r="I121" s="36"/>
      <c r="J121" s="36"/>
      <c r="K121" s="4"/>
      <c r="L121" s="5"/>
    </row>
    <row r="122" customFormat="false" ht="15.75" hidden="false" customHeight="true" outlineLevel="0" collapsed="false">
      <c r="B122" s="32"/>
      <c r="C122" s="32"/>
      <c r="D122" s="33"/>
      <c r="E122" s="32"/>
      <c r="F122" s="34" t="n">
        <v>0</v>
      </c>
      <c r="G122" s="43" t="str">
        <f aca="false">IF(F122=0,"",SUMIFS('Invoice Register'!$G$6:$G$405,'Invoice Register'!$B$6:$B$405,B122,'Invoice Register'!$K$6:$K$405,"Paid")+SUMIFS('Invoice Register'!$G$6:$G$405,'Invoice Register'!$B$6:$B$405,B122,'Invoice Register'!$K$6:$K$405,"Approved"))</f>
        <v/>
      </c>
      <c r="H122" s="44" t="str">
        <f aca="false">IF(F122=0,"",MAX(0,F122-G122))</f>
        <v/>
      </c>
      <c r="I122" s="32"/>
      <c r="J122" s="32"/>
      <c r="K122" s="33"/>
      <c r="L122" s="13"/>
    </row>
    <row r="123" customFormat="false" ht="15.75" hidden="false" customHeight="true" outlineLevel="0" collapsed="false">
      <c r="B123" s="36"/>
      <c r="C123" s="36"/>
      <c r="D123" s="4"/>
      <c r="E123" s="36"/>
      <c r="F123" s="37" t="n">
        <v>0</v>
      </c>
      <c r="G123" s="46" t="str">
        <f aca="false">IF(F123=0,"",SUMIFS('Invoice Register'!$G$6:$G$405,'Invoice Register'!$B$6:$B$405,B123,'Invoice Register'!$K$6:$K$405,"Paid")+SUMIFS('Invoice Register'!$G$6:$G$405,'Invoice Register'!$B$6:$B$405,B123,'Invoice Register'!$K$6:$K$405,"Approved"))</f>
        <v/>
      </c>
      <c r="H123" s="44" t="str">
        <f aca="false">IF(F123=0,"",MAX(0,F123-G123))</f>
        <v/>
      </c>
      <c r="I123" s="36"/>
      <c r="J123" s="36"/>
      <c r="K123" s="4"/>
      <c r="L123" s="5"/>
    </row>
    <row r="124" customFormat="false" ht="15.75" hidden="false" customHeight="true" outlineLevel="0" collapsed="false">
      <c r="B124" s="32"/>
      <c r="C124" s="32"/>
      <c r="D124" s="33"/>
      <c r="E124" s="32"/>
      <c r="F124" s="34" t="n">
        <v>0</v>
      </c>
      <c r="G124" s="43" t="str">
        <f aca="false">IF(F124=0,"",SUMIFS('Invoice Register'!$G$6:$G$405,'Invoice Register'!$B$6:$B$405,B124,'Invoice Register'!$K$6:$K$405,"Paid")+SUMIFS('Invoice Register'!$G$6:$G$405,'Invoice Register'!$B$6:$B$405,B124,'Invoice Register'!$K$6:$K$405,"Approved"))</f>
        <v/>
      </c>
      <c r="H124" s="44" t="str">
        <f aca="false">IF(F124=0,"",MAX(0,F124-G124))</f>
        <v/>
      </c>
      <c r="I124" s="32"/>
      <c r="J124" s="32"/>
      <c r="K124" s="33"/>
      <c r="L124" s="13"/>
    </row>
    <row r="125" customFormat="false" ht="15.75" hidden="false" customHeight="true" outlineLevel="0" collapsed="false">
      <c r="B125" s="36"/>
      <c r="C125" s="36"/>
      <c r="D125" s="4"/>
      <c r="E125" s="36"/>
      <c r="F125" s="37" t="n">
        <v>0</v>
      </c>
      <c r="G125" s="46" t="str">
        <f aca="false">IF(F125=0,"",SUMIFS('Invoice Register'!$G$6:$G$405,'Invoice Register'!$B$6:$B$405,B125,'Invoice Register'!$K$6:$K$405,"Paid")+SUMIFS('Invoice Register'!$G$6:$G$405,'Invoice Register'!$B$6:$B$405,B125,'Invoice Register'!$K$6:$K$405,"Approved"))</f>
        <v/>
      </c>
      <c r="H125" s="44" t="str">
        <f aca="false">IF(F125=0,"",MAX(0,F125-G125))</f>
        <v/>
      </c>
      <c r="I125" s="36"/>
      <c r="J125" s="36"/>
      <c r="K125" s="4"/>
      <c r="L125" s="5"/>
    </row>
    <row r="126" customFormat="false" ht="15.75" hidden="false" customHeight="true" outlineLevel="0" collapsed="false">
      <c r="B126" s="32"/>
      <c r="C126" s="32"/>
      <c r="D126" s="33"/>
      <c r="E126" s="32"/>
      <c r="F126" s="34" t="n">
        <v>0</v>
      </c>
      <c r="G126" s="43" t="str">
        <f aca="false">IF(F126=0,"",SUMIFS('Invoice Register'!$G$6:$G$405,'Invoice Register'!$B$6:$B$405,B126,'Invoice Register'!$K$6:$K$405,"Paid")+SUMIFS('Invoice Register'!$G$6:$G$405,'Invoice Register'!$B$6:$B$405,B126,'Invoice Register'!$K$6:$K$405,"Approved"))</f>
        <v/>
      </c>
      <c r="H126" s="44" t="str">
        <f aca="false">IF(F126=0,"",MAX(0,F126-G126))</f>
        <v/>
      </c>
      <c r="I126" s="32"/>
      <c r="J126" s="32"/>
      <c r="K126" s="33"/>
      <c r="L126" s="13"/>
    </row>
    <row r="127" customFormat="false" ht="15.75" hidden="false" customHeight="true" outlineLevel="0" collapsed="false">
      <c r="B127" s="36"/>
      <c r="C127" s="36"/>
      <c r="D127" s="4"/>
      <c r="E127" s="36"/>
      <c r="F127" s="37" t="n">
        <v>0</v>
      </c>
      <c r="G127" s="46" t="str">
        <f aca="false">IF(F127=0,"",SUMIFS('Invoice Register'!$G$6:$G$405,'Invoice Register'!$B$6:$B$405,B127,'Invoice Register'!$K$6:$K$405,"Paid")+SUMIFS('Invoice Register'!$G$6:$G$405,'Invoice Register'!$B$6:$B$405,B127,'Invoice Register'!$K$6:$K$405,"Approved"))</f>
        <v/>
      </c>
      <c r="H127" s="44" t="str">
        <f aca="false">IF(F127=0,"",MAX(0,F127-G127))</f>
        <v/>
      </c>
      <c r="I127" s="36"/>
      <c r="J127" s="36"/>
      <c r="K127" s="4"/>
      <c r="L127" s="5"/>
    </row>
    <row r="128" customFormat="false" ht="15.75" hidden="false" customHeight="true" outlineLevel="0" collapsed="false">
      <c r="B128" s="32"/>
      <c r="C128" s="32"/>
      <c r="D128" s="33"/>
      <c r="E128" s="32"/>
      <c r="F128" s="34" t="n">
        <v>0</v>
      </c>
      <c r="G128" s="43" t="str">
        <f aca="false">IF(F128=0,"",SUMIFS('Invoice Register'!$G$6:$G$405,'Invoice Register'!$B$6:$B$405,B128,'Invoice Register'!$K$6:$K$405,"Paid")+SUMIFS('Invoice Register'!$G$6:$G$405,'Invoice Register'!$B$6:$B$405,B128,'Invoice Register'!$K$6:$K$405,"Approved"))</f>
        <v/>
      </c>
      <c r="H128" s="44" t="str">
        <f aca="false">IF(F128=0,"",MAX(0,F128-G128))</f>
        <v/>
      </c>
      <c r="I128" s="32"/>
      <c r="J128" s="32"/>
      <c r="K128" s="33"/>
      <c r="L128" s="13"/>
    </row>
    <row r="129" customFormat="false" ht="15.75" hidden="false" customHeight="true" outlineLevel="0" collapsed="false">
      <c r="B129" s="36"/>
      <c r="C129" s="36"/>
      <c r="D129" s="4"/>
      <c r="E129" s="36"/>
      <c r="F129" s="37" t="n">
        <v>0</v>
      </c>
      <c r="G129" s="46" t="str">
        <f aca="false">IF(F129=0,"",SUMIFS('Invoice Register'!$G$6:$G$405,'Invoice Register'!$B$6:$B$405,B129,'Invoice Register'!$K$6:$K$405,"Paid")+SUMIFS('Invoice Register'!$G$6:$G$405,'Invoice Register'!$B$6:$B$405,B129,'Invoice Register'!$K$6:$K$405,"Approved"))</f>
        <v/>
      </c>
      <c r="H129" s="44" t="str">
        <f aca="false">IF(F129=0,"",MAX(0,F129-G129))</f>
        <v/>
      </c>
      <c r="I129" s="36"/>
      <c r="J129" s="36"/>
      <c r="K129" s="4"/>
      <c r="L129" s="5"/>
    </row>
    <row r="130" customFormat="false" ht="15.75" hidden="false" customHeight="true" outlineLevel="0" collapsed="false">
      <c r="B130" s="32"/>
      <c r="C130" s="32"/>
      <c r="D130" s="33"/>
      <c r="E130" s="32"/>
      <c r="F130" s="34" t="n">
        <v>0</v>
      </c>
      <c r="G130" s="43" t="str">
        <f aca="false">IF(F130=0,"",SUMIFS('Invoice Register'!$G$6:$G$405,'Invoice Register'!$B$6:$B$405,B130,'Invoice Register'!$K$6:$K$405,"Paid")+SUMIFS('Invoice Register'!$G$6:$G$405,'Invoice Register'!$B$6:$B$405,B130,'Invoice Register'!$K$6:$K$405,"Approved"))</f>
        <v/>
      </c>
      <c r="H130" s="44" t="str">
        <f aca="false">IF(F130=0,"",MAX(0,F130-G130))</f>
        <v/>
      </c>
      <c r="I130" s="32"/>
      <c r="J130" s="32"/>
      <c r="K130" s="33"/>
      <c r="L130" s="13"/>
    </row>
    <row r="131" customFormat="false" ht="15.75" hidden="false" customHeight="true" outlineLevel="0" collapsed="false">
      <c r="B131" s="36"/>
      <c r="C131" s="36"/>
      <c r="D131" s="4"/>
      <c r="E131" s="36"/>
      <c r="F131" s="37" t="n">
        <v>0</v>
      </c>
      <c r="G131" s="46" t="str">
        <f aca="false">IF(F131=0,"",SUMIFS('Invoice Register'!$G$6:$G$405,'Invoice Register'!$B$6:$B$405,B131,'Invoice Register'!$K$6:$K$405,"Paid")+SUMIFS('Invoice Register'!$G$6:$G$405,'Invoice Register'!$B$6:$B$405,B131,'Invoice Register'!$K$6:$K$405,"Approved"))</f>
        <v/>
      </c>
      <c r="H131" s="44" t="str">
        <f aca="false">IF(F131=0,"",MAX(0,F131-G131))</f>
        <v/>
      </c>
      <c r="I131" s="36"/>
      <c r="J131" s="36"/>
      <c r="K131" s="4"/>
      <c r="L131" s="5"/>
    </row>
    <row r="132" customFormat="false" ht="15.75" hidden="false" customHeight="true" outlineLevel="0" collapsed="false">
      <c r="B132" s="32"/>
      <c r="C132" s="32"/>
      <c r="D132" s="33"/>
      <c r="E132" s="32"/>
      <c r="F132" s="34" t="n">
        <v>0</v>
      </c>
      <c r="G132" s="43" t="str">
        <f aca="false">IF(F132=0,"",SUMIFS('Invoice Register'!$G$6:$G$405,'Invoice Register'!$B$6:$B$405,B132,'Invoice Register'!$K$6:$K$405,"Paid")+SUMIFS('Invoice Register'!$G$6:$G$405,'Invoice Register'!$B$6:$B$405,B132,'Invoice Register'!$K$6:$K$405,"Approved"))</f>
        <v/>
      </c>
      <c r="H132" s="44" t="str">
        <f aca="false">IF(F132=0,"",MAX(0,F132-G132))</f>
        <v/>
      </c>
      <c r="I132" s="32"/>
      <c r="J132" s="32"/>
      <c r="K132" s="33"/>
      <c r="L132" s="13"/>
    </row>
    <row r="133" customFormat="false" ht="15.75" hidden="false" customHeight="true" outlineLevel="0" collapsed="false">
      <c r="B133" s="36"/>
      <c r="C133" s="36"/>
      <c r="D133" s="4"/>
      <c r="E133" s="36"/>
      <c r="F133" s="37" t="n">
        <v>0</v>
      </c>
      <c r="G133" s="46" t="str">
        <f aca="false">IF(F133=0,"",SUMIFS('Invoice Register'!$G$6:$G$405,'Invoice Register'!$B$6:$B$405,B133,'Invoice Register'!$K$6:$K$405,"Paid")+SUMIFS('Invoice Register'!$G$6:$G$405,'Invoice Register'!$B$6:$B$405,B133,'Invoice Register'!$K$6:$K$405,"Approved"))</f>
        <v/>
      </c>
      <c r="H133" s="44" t="str">
        <f aca="false">IF(F133=0,"",MAX(0,F133-G133))</f>
        <v/>
      </c>
      <c r="I133" s="36"/>
      <c r="J133" s="36"/>
      <c r="K133" s="4"/>
      <c r="L133" s="5"/>
    </row>
    <row r="134" customFormat="false" ht="15.75" hidden="false" customHeight="true" outlineLevel="0" collapsed="false">
      <c r="B134" s="32"/>
      <c r="C134" s="32"/>
      <c r="D134" s="33"/>
      <c r="E134" s="32"/>
      <c r="F134" s="34" t="n">
        <v>0</v>
      </c>
      <c r="G134" s="43" t="str">
        <f aca="false">IF(F134=0,"",SUMIFS('Invoice Register'!$G$6:$G$405,'Invoice Register'!$B$6:$B$405,B134,'Invoice Register'!$K$6:$K$405,"Paid")+SUMIFS('Invoice Register'!$G$6:$G$405,'Invoice Register'!$B$6:$B$405,B134,'Invoice Register'!$K$6:$K$405,"Approved"))</f>
        <v/>
      </c>
      <c r="H134" s="44" t="str">
        <f aca="false">IF(F134=0,"",MAX(0,F134-G134))</f>
        <v/>
      </c>
      <c r="I134" s="32"/>
      <c r="J134" s="32"/>
      <c r="K134" s="33"/>
      <c r="L134" s="13"/>
    </row>
    <row r="135" customFormat="false" ht="15.75" hidden="false" customHeight="true" outlineLevel="0" collapsed="false">
      <c r="B135" s="36"/>
      <c r="C135" s="36"/>
      <c r="D135" s="4"/>
      <c r="E135" s="36"/>
      <c r="F135" s="37" t="n">
        <v>0</v>
      </c>
      <c r="G135" s="46" t="str">
        <f aca="false">IF(F135=0,"",SUMIFS('Invoice Register'!$G$6:$G$405,'Invoice Register'!$B$6:$B$405,B135,'Invoice Register'!$K$6:$K$405,"Paid")+SUMIFS('Invoice Register'!$G$6:$G$405,'Invoice Register'!$B$6:$B$405,B135,'Invoice Register'!$K$6:$K$405,"Approved"))</f>
        <v/>
      </c>
      <c r="H135" s="44" t="str">
        <f aca="false">IF(F135=0,"",MAX(0,F135-G135))</f>
        <v/>
      </c>
      <c r="I135" s="36"/>
      <c r="J135" s="36"/>
      <c r="K135" s="4"/>
      <c r="L135" s="5"/>
    </row>
    <row r="136" customFormat="false" ht="15.75" hidden="false" customHeight="true" outlineLevel="0" collapsed="false">
      <c r="B136" s="32"/>
      <c r="C136" s="32"/>
      <c r="D136" s="33"/>
      <c r="E136" s="32"/>
      <c r="F136" s="34" t="n">
        <v>0</v>
      </c>
      <c r="G136" s="43" t="str">
        <f aca="false">IF(F136=0,"",SUMIFS('Invoice Register'!$G$6:$G$405,'Invoice Register'!$B$6:$B$405,B136,'Invoice Register'!$K$6:$K$405,"Paid")+SUMIFS('Invoice Register'!$G$6:$G$405,'Invoice Register'!$B$6:$B$405,B136,'Invoice Register'!$K$6:$K$405,"Approved"))</f>
        <v/>
      </c>
      <c r="H136" s="44" t="str">
        <f aca="false">IF(F136=0,"",MAX(0,F136-G136))</f>
        <v/>
      </c>
      <c r="I136" s="32"/>
      <c r="J136" s="32"/>
      <c r="K136" s="33"/>
      <c r="L136" s="13"/>
    </row>
    <row r="137" customFormat="false" ht="15.75" hidden="false" customHeight="true" outlineLevel="0" collapsed="false">
      <c r="B137" s="36"/>
      <c r="C137" s="36"/>
      <c r="D137" s="4"/>
      <c r="E137" s="36"/>
      <c r="F137" s="37" t="n">
        <v>0</v>
      </c>
      <c r="G137" s="46" t="str">
        <f aca="false">IF(F137=0,"",SUMIFS('Invoice Register'!$G$6:$G$405,'Invoice Register'!$B$6:$B$405,B137,'Invoice Register'!$K$6:$K$405,"Paid")+SUMIFS('Invoice Register'!$G$6:$G$405,'Invoice Register'!$B$6:$B$405,B137,'Invoice Register'!$K$6:$K$405,"Approved"))</f>
        <v/>
      </c>
      <c r="H137" s="44" t="str">
        <f aca="false">IF(F137=0,"",MAX(0,F137-G137))</f>
        <v/>
      </c>
      <c r="I137" s="36"/>
      <c r="J137" s="36"/>
      <c r="K137" s="4"/>
      <c r="L137" s="5"/>
    </row>
    <row r="138" customFormat="false" ht="15.75" hidden="false" customHeight="true" outlineLevel="0" collapsed="false">
      <c r="B138" s="32"/>
      <c r="C138" s="32"/>
      <c r="D138" s="33"/>
      <c r="E138" s="32"/>
      <c r="F138" s="34" t="n">
        <v>0</v>
      </c>
      <c r="G138" s="43" t="str">
        <f aca="false">IF(F138=0,"",SUMIFS('Invoice Register'!$G$6:$G$405,'Invoice Register'!$B$6:$B$405,B138,'Invoice Register'!$K$6:$K$405,"Paid")+SUMIFS('Invoice Register'!$G$6:$G$405,'Invoice Register'!$B$6:$B$405,B138,'Invoice Register'!$K$6:$K$405,"Approved"))</f>
        <v/>
      </c>
      <c r="H138" s="44" t="str">
        <f aca="false">IF(F138=0,"",MAX(0,F138-G138))</f>
        <v/>
      </c>
      <c r="I138" s="32"/>
      <c r="J138" s="32"/>
      <c r="K138" s="33"/>
      <c r="L138" s="13"/>
    </row>
    <row r="139" customFormat="false" ht="15.75" hidden="false" customHeight="true" outlineLevel="0" collapsed="false">
      <c r="B139" s="36"/>
      <c r="C139" s="36"/>
      <c r="D139" s="4"/>
      <c r="E139" s="36"/>
      <c r="F139" s="37" t="n">
        <v>0</v>
      </c>
      <c r="G139" s="46" t="str">
        <f aca="false">IF(F139=0,"",SUMIFS('Invoice Register'!$G$6:$G$405,'Invoice Register'!$B$6:$B$405,B139,'Invoice Register'!$K$6:$K$405,"Paid")+SUMIFS('Invoice Register'!$G$6:$G$405,'Invoice Register'!$B$6:$B$405,B139,'Invoice Register'!$K$6:$K$405,"Approved"))</f>
        <v/>
      </c>
      <c r="H139" s="44" t="str">
        <f aca="false">IF(F139=0,"",MAX(0,F139-G139))</f>
        <v/>
      </c>
      <c r="I139" s="36"/>
      <c r="J139" s="36"/>
      <c r="K139" s="4"/>
      <c r="L139" s="5"/>
    </row>
    <row r="140" customFormat="false" ht="15.75" hidden="false" customHeight="true" outlineLevel="0" collapsed="false">
      <c r="B140" s="32"/>
      <c r="C140" s="32"/>
      <c r="D140" s="33"/>
      <c r="E140" s="32"/>
      <c r="F140" s="34" t="n">
        <v>0</v>
      </c>
      <c r="G140" s="43" t="str">
        <f aca="false">IF(F140=0,"",SUMIFS('Invoice Register'!$G$6:$G$405,'Invoice Register'!$B$6:$B$405,B140,'Invoice Register'!$K$6:$K$405,"Paid")+SUMIFS('Invoice Register'!$G$6:$G$405,'Invoice Register'!$B$6:$B$405,B140,'Invoice Register'!$K$6:$K$405,"Approved"))</f>
        <v/>
      </c>
      <c r="H140" s="44" t="str">
        <f aca="false">IF(F140=0,"",MAX(0,F140-G140))</f>
        <v/>
      </c>
      <c r="I140" s="32"/>
      <c r="J140" s="32"/>
      <c r="K140" s="33"/>
      <c r="L140" s="13"/>
    </row>
    <row r="141" customFormat="false" ht="15.75" hidden="false" customHeight="true" outlineLevel="0" collapsed="false">
      <c r="B141" s="36"/>
      <c r="C141" s="36"/>
      <c r="D141" s="4"/>
      <c r="E141" s="36"/>
      <c r="F141" s="37" t="n">
        <v>0</v>
      </c>
      <c r="G141" s="46" t="str">
        <f aca="false">IF(F141=0,"",SUMIFS('Invoice Register'!$G$6:$G$405,'Invoice Register'!$B$6:$B$405,B141,'Invoice Register'!$K$6:$K$405,"Paid")+SUMIFS('Invoice Register'!$G$6:$G$405,'Invoice Register'!$B$6:$B$405,B141,'Invoice Register'!$K$6:$K$405,"Approved"))</f>
        <v/>
      </c>
      <c r="H141" s="44" t="str">
        <f aca="false">IF(F141=0,"",MAX(0,F141-G141))</f>
        <v/>
      </c>
      <c r="I141" s="36"/>
      <c r="J141" s="36"/>
      <c r="K141" s="4"/>
      <c r="L141" s="5"/>
    </row>
    <row r="142" customFormat="false" ht="15.75" hidden="false" customHeight="true" outlineLevel="0" collapsed="false">
      <c r="B142" s="32"/>
      <c r="C142" s="32"/>
      <c r="D142" s="33"/>
      <c r="E142" s="32"/>
      <c r="F142" s="34" t="n">
        <v>0</v>
      </c>
      <c r="G142" s="43" t="str">
        <f aca="false">IF(F142=0,"",SUMIFS('Invoice Register'!$G$6:$G$405,'Invoice Register'!$B$6:$B$405,B142,'Invoice Register'!$K$6:$K$405,"Paid")+SUMIFS('Invoice Register'!$G$6:$G$405,'Invoice Register'!$B$6:$B$405,B142,'Invoice Register'!$K$6:$K$405,"Approved"))</f>
        <v/>
      </c>
      <c r="H142" s="44" t="str">
        <f aca="false">IF(F142=0,"",MAX(0,F142-G142))</f>
        <v/>
      </c>
      <c r="I142" s="32"/>
      <c r="J142" s="32"/>
      <c r="K142" s="33"/>
      <c r="L142" s="13"/>
    </row>
    <row r="143" customFormat="false" ht="15.75" hidden="false" customHeight="true" outlineLevel="0" collapsed="false">
      <c r="B143" s="36"/>
      <c r="C143" s="36"/>
      <c r="D143" s="4"/>
      <c r="E143" s="36"/>
      <c r="F143" s="37" t="n">
        <v>0</v>
      </c>
      <c r="G143" s="46" t="str">
        <f aca="false">IF(F143=0,"",SUMIFS('Invoice Register'!$G$6:$G$405,'Invoice Register'!$B$6:$B$405,B143,'Invoice Register'!$K$6:$K$405,"Paid")+SUMIFS('Invoice Register'!$G$6:$G$405,'Invoice Register'!$B$6:$B$405,B143,'Invoice Register'!$K$6:$K$405,"Approved"))</f>
        <v/>
      </c>
      <c r="H143" s="44" t="str">
        <f aca="false">IF(F143=0,"",MAX(0,F143-G143))</f>
        <v/>
      </c>
      <c r="I143" s="36"/>
      <c r="J143" s="36"/>
      <c r="K143" s="4"/>
      <c r="L143" s="5"/>
    </row>
    <row r="144" customFormat="false" ht="15.75" hidden="false" customHeight="true" outlineLevel="0" collapsed="false">
      <c r="B144" s="32"/>
      <c r="C144" s="32"/>
      <c r="D144" s="33"/>
      <c r="E144" s="32"/>
      <c r="F144" s="34" t="n">
        <v>0</v>
      </c>
      <c r="G144" s="43" t="str">
        <f aca="false">IF(F144=0,"",SUMIFS('Invoice Register'!$G$6:$G$405,'Invoice Register'!$B$6:$B$405,B144,'Invoice Register'!$K$6:$K$405,"Paid")+SUMIFS('Invoice Register'!$G$6:$G$405,'Invoice Register'!$B$6:$B$405,B144,'Invoice Register'!$K$6:$K$405,"Approved"))</f>
        <v/>
      </c>
      <c r="H144" s="44" t="str">
        <f aca="false">IF(F144=0,"",MAX(0,F144-G144))</f>
        <v/>
      </c>
      <c r="I144" s="32"/>
      <c r="J144" s="32"/>
      <c r="K144" s="33"/>
      <c r="L144" s="13"/>
    </row>
    <row r="145" customFormat="false" ht="15.75" hidden="false" customHeight="true" outlineLevel="0" collapsed="false">
      <c r="B145" s="36"/>
      <c r="C145" s="36"/>
      <c r="D145" s="4"/>
      <c r="E145" s="36"/>
      <c r="F145" s="37" t="n">
        <v>0</v>
      </c>
      <c r="G145" s="46" t="str">
        <f aca="false">IF(F145=0,"",SUMIFS('Invoice Register'!$G$6:$G$405,'Invoice Register'!$B$6:$B$405,B145,'Invoice Register'!$K$6:$K$405,"Paid")+SUMIFS('Invoice Register'!$G$6:$G$405,'Invoice Register'!$B$6:$B$405,B145,'Invoice Register'!$K$6:$K$405,"Approved"))</f>
        <v/>
      </c>
      <c r="H145" s="44" t="str">
        <f aca="false">IF(F145=0,"",MAX(0,F145-G145))</f>
        <v/>
      </c>
      <c r="I145" s="36"/>
      <c r="J145" s="36"/>
      <c r="K145" s="4"/>
      <c r="L145" s="5"/>
    </row>
    <row r="146" customFormat="false" ht="15.75" hidden="false" customHeight="true" outlineLevel="0" collapsed="false">
      <c r="B146" s="32"/>
      <c r="C146" s="32"/>
      <c r="D146" s="33"/>
      <c r="E146" s="32"/>
      <c r="F146" s="34" t="n">
        <v>0</v>
      </c>
      <c r="G146" s="43" t="str">
        <f aca="false">IF(F146=0,"",SUMIFS('Invoice Register'!$G$6:$G$405,'Invoice Register'!$B$6:$B$405,B146,'Invoice Register'!$K$6:$K$405,"Paid")+SUMIFS('Invoice Register'!$G$6:$G$405,'Invoice Register'!$B$6:$B$405,B146,'Invoice Register'!$K$6:$K$405,"Approved"))</f>
        <v/>
      </c>
      <c r="H146" s="44" t="str">
        <f aca="false">IF(F146=0,"",MAX(0,F146-G146))</f>
        <v/>
      </c>
      <c r="I146" s="32"/>
      <c r="J146" s="32"/>
      <c r="K146" s="33"/>
      <c r="L146" s="13"/>
    </row>
    <row r="147" customFormat="false" ht="15.75" hidden="false" customHeight="true" outlineLevel="0" collapsed="false">
      <c r="B147" s="36"/>
      <c r="C147" s="36"/>
      <c r="D147" s="4"/>
      <c r="E147" s="36"/>
      <c r="F147" s="37" t="n">
        <v>0</v>
      </c>
      <c r="G147" s="46" t="str">
        <f aca="false">IF(F147=0,"",SUMIFS('Invoice Register'!$G$6:$G$405,'Invoice Register'!$B$6:$B$405,B147,'Invoice Register'!$K$6:$K$405,"Paid")+SUMIFS('Invoice Register'!$G$6:$G$405,'Invoice Register'!$B$6:$B$405,B147,'Invoice Register'!$K$6:$K$405,"Approved"))</f>
        <v/>
      </c>
      <c r="H147" s="44" t="str">
        <f aca="false">IF(F147=0,"",MAX(0,F147-G147))</f>
        <v/>
      </c>
      <c r="I147" s="36"/>
      <c r="J147" s="36"/>
      <c r="K147" s="4"/>
      <c r="L147" s="5"/>
    </row>
    <row r="148" customFormat="false" ht="15.75" hidden="false" customHeight="true" outlineLevel="0" collapsed="false">
      <c r="B148" s="32"/>
      <c r="C148" s="32"/>
      <c r="D148" s="33"/>
      <c r="E148" s="32"/>
      <c r="F148" s="34" t="n">
        <v>0</v>
      </c>
      <c r="G148" s="43" t="str">
        <f aca="false">IF(F148=0,"",SUMIFS('Invoice Register'!$G$6:$G$405,'Invoice Register'!$B$6:$B$405,B148,'Invoice Register'!$K$6:$K$405,"Paid")+SUMIFS('Invoice Register'!$G$6:$G$405,'Invoice Register'!$B$6:$B$405,B148,'Invoice Register'!$K$6:$K$405,"Approved"))</f>
        <v/>
      </c>
      <c r="H148" s="44" t="str">
        <f aca="false">IF(F148=0,"",MAX(0,F148-G148))</f>
        <v/>
      </c>
      <c r="I148" s="32"/>
      <c r="J148" s="32"/>
      <c r="K148" s="33"/>
      <c r="L148" s="13"/>
    </row>
    <row r="149" customFormat="false" ht="15.75" hidden="false" customHeight="true" outlineLevel="0" collapsed="false">
      <c r="B149" s="36"/>
      <c r="C149" s="36"/>
      <c r="D149" s="4"/>
      <c r="E149" s="36"/>
      <c r="F149" s="37" t="n">
        <v>0</v>
      </c>
      <c r="G149" s="46" t="str">
        <f aca="false">IF(F149=0,"",SUMIFS('Invoice Register'!$G$6:$G$405,'Invoice Register'!$B$6:$B$405,B149,'Invoice Register'!$K$6:$K$405,"Paid")+SUMIFS('Invoice Register'!$G$6:$G$405,'Invoice Register'!$B$6:$B$405,B149,'Invoice Register'!$K$6:$K$405,"Approved"))</f>
        <v/>
      </c>
      <c r="H149" s="44" t="str">
        <f aca="false">IF(F149=0,"",MAX(0,F149-G149))</f>
        <v/>
      </c>
      <c r="I149" s="36"/>
      <c r="J149" s="36"/>
      <c r="K149" s="4"/>
      <c r="L149" s="5"/>
    </row>
    <row r="150" customFormat="false" ht="15.75" hidden="false" customHeight="true" outlineLevel="0" collapsed="false">
      <c r="B150" s="32"/>
      <c r="C150" s="32"/>
      <c r="D150" s="33"/>
      <c r="E150" s="32"/>
      <c r="F150" s="34" t="n">
        <v>0</v>
      </c>
      <c r="G150" s="43" t="str">
        <f aca="false">IF(F150=0,"",SUMIFS('Invoice Register'!$G$6:$G$405,'Invoice Register'!$B$6:$B$405,B150,'Invoice Register'!$K$6:$K$405,"Paid")+SUMIFS('Invoice Register'!$G$6:$G$405,'Invoice Register'!$B$6:$B$405,B150,'Invoice Register'!$K$6:$K$405,"Approved"))</f>
        <v/>
      </c>
      <c r="H150" s="44" t="str">
        <f aca="false">IF(F150=0,"",MAX(0,F150-G150))</f>
        <v/>
      </c>
      <c r="I150" s="32"/>
      <c r="J150" s="32"/>
      <c r="K150" s="33"/>
      <c r="L150" s="13"/>
    </row>
    <row r="151" customFormat="false" ht="15.75" hidden="false" customHeight="true" outlineLevel="0" collapsed="false">
      <c r="B151" s="36"/>
      <c r="C151" s="36"/>
      <c r="D151" s="4"/>
      <c r="E151" s="36"/>
      <c r="F151" s="37" t="n">
        <v>0</v>
      </c>
      <c r="G151" s="46" t="str">
        <f aca="false">IF(F151=0,"",SUMIFS('Invoice Register'!$G$6:$G$405,'Invoice Register'!$B$6:$B$405,B151,'Invoice Register'!$K$6:$K$405,"Paid")+SUMIFS('Invoice Register'!$G$6:$G$405,'Invoice Register'!$B$6:$B$405,B151,'Invoice Register'!$K$6:$K$405,"Approved"))</f>
        <v/>
      </c>
      <c r="H151" s="44" t="str">
        <f aca="false">IF(F151=0,"",MAX(0,F151-G151))</f>
        <v/>
      </c>
      <c r="I151" s="36"/>
      <c r="J151" s="36"/>
      <c r="K151" s="4"/>
      <c r="L151" s="5"/>
    </row>
    <row r="152" customFormat="false" ht="15.75" hidden="false" customHeight="true" outlineLevel="0" collapsed="false">
      <c r="B152" s="32"/>
      <c r="C152" s="32"/>
      <c r="D152" s="33"/>
      <c r="E152" s="32"/>
      <c r="F152" s="34" t="n">
        <v>0</v>
      </c>
      <c r="G152" s="43" t="str">
        <f aca="false">IF(F152=0,"",SUMIFS('Invoice Register'!$G$6:$G$405,'Invoice Register'!$B$6:$B$405,B152,'Invoice Register'!$K$6:$K$405,"Paid")+SUMIFS('Invoice Register'!$G$6:$G$405,'Invoice Register'!$B$6:$B$405,B152,'Invoice Register'!$K$6:$K$405,"Approved"))</f>
        <v/>
      </c>
      <c r="H152" s="44" t="str">
        <f aca="false">IF(F152=0,"",MAX(0,F152-G152))</f>
        <v/>
      </c>
      <c r="I152" s="32"/>
      <c r="J152" s="32"/>
      <c r="K152" s="33"/>
      <c r="L152" s="13"/>
    </row>
    <row r="153" customFormat="false" ht="15.75" hidden="false" customHeight="true" outlineLevel="0" collapsed="false">
      <c r="B153" s="36"/>
      <c r="C153" s="36"/>
      <c r="D153" s="4"/>
      <c r="E153" s="36"/>
      <c r="F153" s="37" t="n">
        <v>0</v>
      </c>
      <c r="G153" s="46" t="str">
        <f aca="false">IF(F153=0,"",SUMIFS('Invoice Register'!$G$6:$G$405,'Invoice Register'!$B$6:$B$405,B153,'Invoice Register'!$K$6:$K$405,"Paid")+SUMIFS('Invoice Register'!$G$6:$G$405,'Invoice Register'!$B$6:$B$405,B153,'Invoice Register'!$K$6:$K$405,"Approved"))</f>
        <v/>
      </c>
      <c r="H153" s="44" t="str">
        <f aca="false">IF(F153=0,"",MAX(0,F153-G153))</f>
        <v/>
      </c>
      <c r="I153" s="36"/>
      <c r="J153" s="36"/>
      <c r="K153" s="4"/>
      <c r="L153" s="5"/>
    </row>
    <row r="154" customFormat="false" ht="15.75" hidden="false" customHeight="true" outlineLevel="0" collapsed="false">
      <c r="B154" s="32"/>
      <c r="C154" s="32"/>
      <c r="D154" s="33"/>
      <c r="E154" s="32"/>
      <c r="F154" s="34" t="n">
        <v>0</v>
      </c>
      <c r="G154" s="43" t="str">
        <f aca="false">IF(F154=0,"",SUMIFS('Invoice Register'!$G$6:$G$405,'Invoice Register'!$B$6:$B$405,B154,'Invoice Register'!$K$6:$K$405,"Paid")+SUMIFS('Invoice Register'!$G$6:$G$405,'Invoice Register'!$B$6:$B$405,B154,'Invoice Register'!$K$6:$K$405,"Approved"))</f>
        <v/>
      </c>
      <c r="H154" s="44" t="str">
        <f aca="false">IF(F154=0,"",MAX(0,F154-G154))</f>
        <v/>
      </c>
      <c r="I154" s="32"/>
      <c r="J154" s="32"/>
      <c r="K154" s="33"/>
      <c r="L154" s="13"/>
    </row>
    <row r="155" customFormat="false" ht="15.75" hidden="false" customHeight="true" outlineLevel="0" collapsed="false">
      <c r="B155" s="36"/>
      <c r="C155" s="36"/>
      <c r="D155" s="4"/>
      <c r="E155" s="36"/>
      <c r="F155" s="37" t="n">
        <v>0</v>
      </c>
      <c r="G155" s="46" t="str">
        <f aca="false">IF(F155=0,"",SUMIFS('Invoice Register'!$G$6:$G$405,'Invoice Register'!$B$6:$B$405,B155,'Invoice Register'!$K$6:$K$405,"Paid")+SUMIFS('Invoice Register'!$G$6:$G$405,'Invoice Register'!$B$6:$B$405,B155,'Invoice Register'!$K$6:$K$405,"Approved"))</f>
        <v/>
      </c>
      <c r="H155" s="44" t="str">
        <f aca="false">IF(F155=0,"",MAX(0,F155-G155))</f>
        <v/>
      </c>
      <c r="I155" s="36"/>
      <c r="J155" s="36"/>
      <c r="K155" s="4"/>
      <c r="L155" s="5"/>
    </row>
    <row r="156" customFormat="false" ht="15.75" hidden="false" customHeight="true" outlineLevel="0" collapsed="false">
      <c r="B156" s="32"/>
      <c r="C156" s="32"/>
      <c r="D156" s="33"/>
      <c r="E156" s="32"/>
      <c r="F156" s="34" t="n">
        <v>0</v>
      </c>
      <c r="G156" s="43" t="str">
        <f aca="false">IF(F156=0,"",SUMIFS('Invoice Register'!$G$6:$G$405,'Invoice Register'!$B$6:$B$405,B156,'Invoice Register'!$K$6:$K$405,"Paid")+SUMIFS('Invoice Register'!$G$6:$G$405,'Invoice Register'!$B$6:$B$405,B156,'Invoice Register'!$K$6:$K$405,"Approved"))</f>
        <v/>
      </c>
      <c r="H156" s="44" t="str">
        <f aca="false">IF(F156=0,"",MAX(0,F156-G156))</f>
        <v/>
      </c>
      <c r="I156" s="32"/>
      <c r="J156" s="32"/>
      <c r="K156" s="33"/>
      <c r="L156" s="13"/>
    </row>
    <row r="157" customFormat="false" ht="15.75" hidden="false" customHeight="true" outlineLevel="0" collapsed="false">
      <c r="B157" s="36"/>
      <c r="C157" s="36"/>
      <c r="D157" s="4"/>
      <c r="E157" s="36"/>
      <c r="F157" s="37" t="n">
        <v>0</v>
      </c>
      <c r="G157" s="46" t="str">
        <f aca="false">IF(F157=0,"",SUMIFS('Invoice Register'!$G$6:$G$405,'Invoice Register'!$B$6:$B$405,B157,'Invoice Register'!$K$6:$K$405,"Paid")+SUMIFS('Invoice Register'!$G$6:$G$405,'Invoice Register'!$B$6:$B$405,B157,'Invoice Register'!$K$6:$K$405,"Approved"))</f>
        <v/>
      </c>
      <c r="H157" s="44" t="str">
        <f aca="false">IF(F157=0,"",MAX(0,F157-G157))</f>
        <v/>
      </c>
      <c r="I157" s="36"/>
      <c r="J157" s="36"/>
      <c r="K157" s="4"/>
      <c r="L157" s="5"/>
    </row>
    <row r="158" customFormat="false" ht="15.75" hidden="false" customHeight="true" outlineLevel="0" collapsed="false">
      <c r="B158" s="32"/>
      <c r="C158" s="32"/>
      <c r="D158" s="33"/>
      <c r="E158" s="32"/>
      <c r="F158" s="34" t="n">
        <v>0</v>
      </c>
      <c r="G158" s="43" t="str">
        <f aca="false">IF(F158=0,"",SUMIFS('Invoice Register'!$G$6:$G$405,'Invoice Register'!$B$6:$B$405,B158,'Invoice Register'!$K$6:$K$405,"Paid")+SUMIFS('Invoice Register'!$G$6:$G$405,'Invoice Register'!$B$6:$B$405,B158,'Invoice Register'!$K$6:$K$405,"Approved"))</f>
        <v/>
      </c>
      <c r="H158" s="44" t="str">
        <f aca="false">IF(F158=0,"",MAX(0,F158-G158))</f>
        <v/>
      </c>
      <c r="I158" s="32"/>
      <c r="J158" s="32"/>
      <c r="K158" s="33"/>
      <c r="L158" s="13"/>
    </row>
    <row r="159" customFormat="false" ht="15.75" hidden="false" customHeight="true" outlineLevel="0" collapsed="false">
      <c r="B159" s="36"/>
      <c r="C159" s="36"/>
      <c r="D159" s="4"/>
      <c r="E159" s="36"/>
      <c r="F159" s="37" t="n">
        <v>0</v>
      </c>
      <c r="G159" s="46" t="str">
        <f aca="false">IF(F159=0,"",SUMIFS('Invoice Register'!$G$6:$G$405,'Invoice Register'!$B$6:$B$405,B159,'Invoice Register'!$K$6:$K$405,"Paid")+SUMIFS('Invoice Register'!$G$6:$G$405,'Invoice Register'!$B$6:$B$405,B159,'Invoice Register'!$K$6:$K$405,"Approved"))</f>
        <v/>
      </c>
      <c r="H159" s="44" t="str">
        <f aca="false">IF(F159=0,"",MAX(0,F159-G159))</f>
        <v/>
      </c>
      <c r="I159" s="36"/>
      <c r="J159" s="36"/>
      <c r="K159" s="4"/>
      <c r="L159" s="5"/>
    </row>
    <row r="160" customFormat="false" ht="15.75" hidden="false" customHeight="true" outlineLevel="0" collapsed="false">
      <c r="B160" s="32"/>
      <c r="C160" s="32"/>
      <c r="D160" s="33"/>
      <c r="E160" s="32"/>
      <c r="F160" s="34" t="n">
        <v>0</v>
      </c>
      <c r="G160" s="43" t="str">
        <f aca="false">IF(F160=0,"",SUMIFS('Invoice Register'!$G$6:$G$405,'Invoice Register'!$B$6:$B$405,B160,'Invoice Register'!$K$6:$K$405,"Paid")+SUMIFS('Invoice Register'!$G$6:$G$405,'Invoice Register'!$B$6:$B$405,B160,'Invoice Register'!$K$6:$K$405,"Approved"))</f>
        <v/>
      </c>
      <c r="H160" s="44" t="str">
        <f aca="false">IF(F160=0,"",MAX(0,F160-G160))</f>
        <v/>
      </c>
      <c r="I160" s="32"/>
      <c r="J160" s="32"/>
      <c r="K160" s="33"/>
      <c r="L160" s="13"/>
    </row>
    <row r="161" customFormat="false" ht="15.75" hidden="false" customHeight="true" outlineLevel="0" collapsed="false">
      <c r="B161" s="36"/>
      <c r="C161" s="36"/>
      <c r="D161" s="4"/>
      <c r="E161" s="36"/>
      <c r="F161" s="37" t="n">
        <v>0</v>
      </c>
      <c r="G161" s="46" t="str">
        <f aca="false">IF(F161=0,"",SUMIFS('Invoice Register'!$G$6:$G$405,'Invoice Register'!$B$6:$B$405,B161,'Invoice Register'!$K$6:$K$405,"Paid")+SUMIFS('Invoice Register'!$G$6:$G$405,'Invoice Register'!$B$6:$B$405,B161,'Invoice Register'!$K$6:$K$405,"Approved"))</f>
        <v/>
      </c>
      <c r="H161" s="44" t="str">
        <f aca="false">IF(F161=0,"",MAX(0,F161-G161))</f>
        <v/>
      </c>
      <c r="I161" s="36"/>
      <c r="J161" s="36"/>
      <c r="K161" s="4"/>
      <c r="L161" s="5"/>
    </row>
    <row r="162" customFormat="false" ht="15.75" hidden="false" customHeight="true" outlineLevel="0" collapsed="false">
      <c r="B162" s="32"/>
      <c r="C162" s="32"/>
      <c r="D162" s="33"/>
      <c r="E162" s="32"/>
      <c r="F162" s="34" t="n">
        <v>0</v>
      </c>
      <c r="G162" s="43" t="str">
        <f aca="false">IF(F162=0,"",SUMIFS('Invoice Register'!$G$6:$G$405,'Invoice Register'!$B$6:$B$405,B162,'Invoice Register'!$K$6:$K$405,"Paid")+SUMIFS('Invoice Register'!$G$6:$G$405,'Invoice Register'!$B$6:$B$405,B162,'Invoice Register'!$K$6:$K$405,"Approved"))</f>
        <v/>
      </c>
      <c r="H162" s="44" t="str">
        <f aca="false">IF(F162=0,"",MAX(0,F162-G162))</f>
        <v/>
      </c>
      <c r="I162" s="32"/>
      <c r="J162" s="32"/>
      <c r="K162" s="33"/>
      <c r="L162" s="13"/>
    </row>
    <row r="163" customFormat="false" ht="15.75" hidden="false" customHeight="true" outlineLevel="0" collapsed="false">
      <c r="B163" s="36"/>
      <c r="C163" s="36"/>
      <c r="D163" s="4"/>
      <c r="E163" s="36"/>
      <c r="F163" s="37" t="n">
        <v>0</v>
      </c>
      <c r="G163" s="46" t="str">
        <f aca="false">IF(F163=0,"",SUMIFS('Invoice Register'!$G$6:$G$405,'Invoice Register'!$B$6:$B$405,B163,'Invoice Register'!$K$6:$K$405,"Paid")+SUMIFS('Invoice Register'!$G$6:$G$405,'Invoice Register'!$B$6:$B$405,B163,'Invoice Register'!$K$6:$K$405,"Approved"))</f>
        <v/>
      </c>
      <c r="H163" s="44" t="str">
        <f aca="false">IF(F163=0,"",MAX(0,F163-G163))</f>
        <v/>
      </c>
      <c r="I163" s="36"/>
      <c r="J163" s="36"/>
      <c r="K163" s="4"/>
      <c r="L163" s="5"/>
    </row>
    <row r="164" customFormat="false" ht="15.75" hidden="false" customHeight="true" outlineLevel="0" collapsed="false">
      <c r="B164" s="32"/>
      <c r="C164" s="32"/>
      <c r="D164" s="33"/>
      <c r="E164" s="32"/>
      <c r="F164" s="34" t="n">
        <v>0</v>
      </c>
      <c r="G164" s="43" t="str">
        <f aca="false">IF(F164=0,"",SUMIFS('Invoice Register'!$G$6:$G$405,'Invoice Register'!$B$6:$B$405,B164,'Invoice Register'!$K$6:$K$405,"Paid")+SUMIFS('Invoice Register'!$G$6:$G$405,'Invoice Register'!$B$6:$B$405,B164,'Invoice Register'!$K$6:$K$405,"Approved"))</f>
        <v/>
      </c>
      <c r="H164" s="44" t="str">
        <f aca="false">IF(F164=0,"",MAX(0,F164-G164))</f>
        <v/>
      </c>
      <c r="I164" s="32"/>
      <c r="J164" s="32"/>
      <c r="K164" s="33"/>
      <c r="L164" s="13"/>
    </row>
    <row r="165" customFormat="false" ht="15.75" hidden="false" customHeight="true" outlineLevel="0" collapsed="false">
      <c r="B165" s="36"/>
      <c r="C165" s="36"/>
      <c r="D165" s="4"/>
      <c r="E165" s="36"/>
      <c r="F165" s="37" t="n">
        <v>0</v>
      </c>
      <c r="G165" s="46" t="str">
        <f aca="false">IF(F165=0,"",SUMIFS('Invoice Register'!$G$6:$G$405,'Invoice Register'!$B$6:$B$405,B165,'Invoice Register'!$K$6:$K$405,"Paid")+SUMIFS('Invoice Register'!$G$6:$G$405,'Invoice Register'!$B$6:$B$405,B165,'Invoice Register'!$K$6:$K$405,"Approved"))</f>
        <v/>
      </c>
      <c r="H165" s="44" t="str">
        <f aca="false">IF(F165=0,"",MAX(0,F165-G165))</f>
        <v/>
      </c>
      <c r="I165" s="36"/>
      <c r="J165" s="36"/>
      <c r="K165" s="4"/>
      <c r="L165" s="5"/>
    </row>
    <row r="166" customFormat="false" ht="15.75" hidden="false" customHeight="true" outlineLevel="0" collapsed="false">
      <c r="B166" s="32"/>
      <c r="C166" s="32"/>
      <c r="D166" s="33"/>
      <c r="E166" s="32"/>
      <c r="F166" s="34" t="n">
        <v>0</v>
      </c>
      <c r="G166" s="43" t="str">
        <f aca="false">IF(F166=0,"",SUMIFS('Invoice Register'!$G$6:$G$405,'Invoice Register'!$B$6:$B$405,B166,'Invoice Register'!$K$6:$K$405,"Paid")+SUMIFS('Invoice Register'!$G$6:$G$405,'Invoice Register'!$B$6:$B$405,B166,'Invoice Register'!$K$6:$K$405,"Approved"))</f>
        <v/>
      </c>
      <c r="H166" s="44" t="str">
        <f aca="false">IF(F166=0,"",MAX(0,F166-G166))</f>
        <v/>
      </c>
      <c r="I166" s="32"/>
      <c r="J166" s="32"/>
      <c r="K166" s="33"/>
      <c r="L166" s="13"/>
    </row>
    <row r="167" customFormat="false" ht="15.75" hidden="false" customHeight="true" outlineLevel="0" collapsed="false">
      <c r="B167" s="36"/>
      <c r="C167" s="36"/>
      <c r="D167" s="4"/>
      <c r="E167" s="36"/>
      <c r="F167" s="37" t="n">
        <v>0</v>
      </c>
      <c r="G167" s="46" t="str">
        <f aca="false">IF(F167=0,"",SUMIFS('Invoice Register'!$G$6:$G$405,'Invoice Register'!$B$6:$B$405,B167,'Invoice Register'!$K$6:$K$405,"Paid")+SUMIFS('Invoice Register'!$G$6:$G$405,'Invoice Register'!$B$6:$B$405,B167,'Invoice Register'!$K$6:$K$405,"Approved"))</f>
        <v/>
      </c>
      <c r="H167" s="44" t="str">
        <f aca="false">IF(F167=0,"",MAX(0,F167-G167))</f>
        <v/>
      </c>
      <c r="I167" s="36"/>
      <c r="J167" s="36"/>
      <c r="K167" s="4"/>
      <c r="L167" s="5"/>
    </row>
    <row r="168" customFormat="false" ht="15.75" hidden="false" customHeight="true" outlineLevel="0" collapsed="false">
      <c r="B168" s="32"/>
      <c r="C168" s="32"/>
      <c r="D168" s="33"/>
      <c r="E168" s="32"/>
      <c r="F168" s="34" t="n">
        <v>0</v>
      </c>
      <c r="G168" s="43" t="str">
        <f aca="false">IF(F168=0,"",SUMIFS('Invoice Register'!$G$6:$G$405,'Invoice Register'!$B$6:$B$405,B168,'Invoice Register'!$K$6:$K$405,"Paid")+SUMIFS('Invoice Register'!$G$6:$G$405,'Invoice Register'!$B$6:$B$405,B168,'Invoice Register'!$K$6:$K$405,"Approved"))</f>
        <v/>
      </c>
      <c r="H168" s="44" t="str">
        <f aca="false">IF(F168=0,"",MAX(0,F168-G168))</f>
        <v/>
      </c>
      <c r="I168" s="32"/>
      <c r="J168" s="32"/>
      <c r="K168" s="33"/>
      <c r="L168" s="13"/>
    </row>
    <row r="169" customFormat="false" ht="15.75" hidden="false" customHeight="true" outlineLevel="0" collapsed="false">
      <c r="B169" s="36"/>
      <c r="C169" s="36"/>
      <c r="D169" s="4"/>
      <c r="E169" s="36"/>
      <c r="F169" s="37" t="n">
        <v>0</v>
      </c>
      <c r="G169" s="46" t="str">
        <f aca="false">IF(F169=0,"",SUMIFS('Invoice Register'!$G$6:$G$405,'Invoice Register'!$B$6:$B$405,B169,'Invoice Register'!$K$6:$K$405,"Paid")+SUMIFS('Invoice Register'!$G$6:$G$405,'Invoice Register'!$B$6:$B$405,B169,'Invoice Register'!$K$6:$K$405,"Approved"))</f>
        <v/>
      </c>
      <c r="H169" s="44" t="str">
        <f aca="false">IF(F169=0,"",MAX(0,F169-G169))</f>
        <v/>
      </c>
      <c r="I169" s="36"/>
      <c r="J169" s="36"/>
      <c r="K169" s="4"/>
      <c r="L169" s="5"/>
    </row>
    <row r="170" customFormat="false" ht="15.75" hidden="false" customHeight="true" outlineLevel="0" collapsed="false">
      <c r="B170" s="32"/>
      <c r="C170" s="32"/>
      <c r="D170" s="33"/>
      <c r="E170" s="32"/>
      <c r="F170" s="34" t="n">
        <v>0</v>
      </c>
      <c r="G170" s="43" t="str">
        <f aca="false">IF(F170=0,"",SUMIFS('Invoice Register'!$G$6:$G$405,'Invoice Register'!$B$6:$B$405,B170,'Invoice Register'!$K$6:$K$405,"Paid")+SUMIFS('Invoice Register'!$G$6:$G$405,'Invoice Register'!$B$6:$B$405,B170,'Invoice Register'!$K$6:$K$405,"Approved"))</f>
        <v/>
      </c>
      <c r="H170" s="44" t="str">
        <f aca="false">IF(F170=0,"",MAX(0,F170-G170))</f>
        <v/>
      </c>
      <c r="I170" s="32"/>
      <c r="J170" s="32"/>
      <c r="K170" s="33"/>
      <c r="L170" s="13"/>
    </row>
    <row r="171" customFormat="false" ht="15.75" hidden="false" customHeight="true" outlineLevel="0" collapsed="false">
      <c r="B171" s="36"/>
      <c r="C171" s="36"/>
      <c r="D171" s="4"/>
      <c r="E171" s="36"/>
      <c r="F171" s="37" t="n">
        <v>0</v>
      </c>
      <c r="G171" s="46" t="str">
        <f aca="false">IF(F171=0,"",SUMIFS('Invoice Register'!$G$6:$G$405,'Invoice Register'!$B$6:$B$405,B171,'Invoice Register'!$K$6:$K$405,"Paid")+SUMIFS('Invoice Register'!$G$6:$G$405,'Invoice Register'!$B$6:$B$405,B171,'Invoice Register'!$K$6:$K$405,"Approved"))</f>
        <v/>
      </c>
      <c r="H171" s="44" t="str">
        <f aca="false">IF(F171=0,"",MAX(0,F171-G171))</f>
        <v/>
      </c>
      <c r="I171" s="36"/>
      <c r="J171" s="36"/>
      <c r="K171" s="4"/>
      <c r="L171" s="5"/>
    </row>
    <row r="172" customFormat="false" ht="15.75" hidden="false" customHeight="true" outlineLevel="0" collapsed="false">
      <c r="B172" s="32"/>
      <c r="C172" s="32"/>
      <c r="D172" s="33"/>
      <c r="E172" s="32"/>
      <c r="F172" s="34" t="n">
        <v>0</v>
      </c>
      <c r="G172" s="43" t="str">
        <f aca="false">IF(F172=0,"",SUMIFS('Invoice Register'!$G$6:$G$405,'Invoice Register'!$B$6:$B$405,B172,'Invoice Register'!$K$6:$K$405,"Paid")+SUMIFS('Invoice Register'!$G$6:$G$405,'Invoice Register'!$B$6:$B$405,B172,'Invoice Register'!$K$6:$K$405,"Approved"))</f>
        <v/>
      </c>
      <c r="H172" s="44" t="str">
        <f aca="false">IF(F172=0,"",MAX(0,F172-G172))</f>
        <v/>
      </c>
      <c r="I172" s="32"/>
      <c r="J172" s="32"/>
      <c r="K172" s="33"/>
      <c r="L172" s="13"/>
    </row>
    <row r="173" customFormat="false" ht="15.75" hidden="false" customHeight="true" outlineLevel="0" collapsed="false">
      <c r="B173" s="36"/>
      <c r="C173" s="36"/>
      <c r="D173" s="4"/>
      <c r="E173" s="36"/>
      <c r="F173" s="37" t="n">
        <v>0</v>
      </c>
      <c r="G173" s="46" t="str">
        <f aca="false">IF(F173=0,"",SUMIFS('Invoice Register'!$G$6:$G$405,'Invoice Register'!$B$6:$B$405,B173,'Invoice Register'!$K$6:$K$405,"Paid")+SUMIFS('Invoice Register'!$G$6:$G$405,'Invoice Register'!$B$6:$B$405,B173,'Invoice Register'!$K$6:$K$405,"Approved"))</f>
        <v/>
      </c>
      <c r="H173" s="44" t="str">
        <f aca="false">IF(F173=0,"",MAX(0,F173-G173))</f>
        <v/>
      </c>
      <c r="I173" s="36"/>
      <c r="J173" s="36"/>
      <c r="K173" s="4"/>
      <c r="L173" s="5"/>
    </row>
    <row r="174" customFormat="false" ht="15.75" hidden="false" customHeight="true" outlineLevel="0" collapsed="false">
      <c r="B174" s="32"/>
      <c r="C174" s="32"/>
      <c r="D174" s="33"/>
      <c r="E174" s="32"/>
      <c r="F174" s="34" t="n">
        <v>0</v>
      </c>
      <c r="G174" s="43" t="str">
        <f aca="false">IF(F174=0,"",SUMIFS('Invoice Register'!$G$6:$G$405,'Invoice Register'!$B$6:$B$405,B174,'Invoice Register'!$K$6:$K$405,"Paid")+SUMIFS('Invoice Register'!$G$6:$G$405,'Invoice Register'!$B$6:$B$405,B174,'Invoice Register'!$K$6:$K$405,"Approved"))</f>
        <v/>
      </c>
      <c r="H174" s="44" t="str">
        <f aca="false">IF(F174=0,"",MAX(0,F174-G174))</f>
        <v/>
      </c>
      <c r="I174" s="32"/>
      <c r="J174" s="32"/>
      <c r="K174" s="33"/>
      <c r="L174" s="13"/>
    </row>
    <row r="175" customFormat="false" ht="15.75" hidden="false" customHeight="true" outlineLevel="0" collapsed="false">
      <c r="B175" s="36"/>
      <c r="C175" s="36"/>
      <c r="D175" s="4"/>
      <c r="E175" s="36"/>
      <c r="F175" s="37" t="n">
        <v>0</v>
      </c>
      <c r="G175" s="46" t="str">
        <f aca="false">IF(F175=0,"",SUMIFS('Invoice Register'!$G$6:$G$405,'Invoice Register'!$B$6:$B$405,B175,'Invoice Register'!$K$6:$K$405,"Paid")+SUMIFS('Invoice Register'!$G$6:$G$405,'Invoice Register'!$B$6:$B$405,B175,'Invoice Register'!$K$6:$K$405,"Approved"))</f>
        <v/>
      </c>
      <c r="H175" s="44" t="str">
        <f aca="false">IF(F175=0,"",MAX(0,F175-G175))</f>
        <v/>
      </c>
      <c r="I175" s="36"/>
      <c r="J175" s="36"/>
      <c r="K175" s="4"/>
      <c r="L175" s="5"/>
    </row>
    <row r="176" customFormat="false" ht="15.75" hidden="false" customHeight="true" outlineLevel="0" collapsed="false">
      <c r="B176" s="32"/>
      <c r="C176" s="32"/>
      <c r="D176" s="33"/>
      <c r="E176" s="32"/>
      <c r="F176" s="34" t="n">
        <v>0</v>
      </c>
      <c r="G176" s="43" t="str">
        <f aca="false">IF(F176=0,"",SUMIFS('Invoice Register'!$G$6:$G$405,'Invoice Register'!$B$6:$B$405,B176,'Invoice Register'!$K$6:$K$405,"Paid")+SUMIFS('Invoice Register'!$G$6:$G$405,'Invoice Register'!$B$6:$B$405,B176,'Invoice Register'!$K$6:$K$405,"Approved"))</f>
        <v/>
      </c>
      <c r="H176" s="44" t="str">
        <f aca="false">IF(F176=0,"",MAX(0,F176-G176))</f>
        <v/>
      </c>
      <c r="I176" s="32"/>
      <c r="J176" s="32"/>
      <c r="K176" s="33"/>
      <c r="L176" s="13"/>
    </row>
    <row r="177" customFormat="false" ht="15.75" hidden="false" customHeight="true" outlineLevel="0" collapsed="false">
      <c r="B177" s="36"/>
      <c r="C177" s="36"/>
      <c r="D177" s="4"/>
      <c r="E177" s="36"/>
      <c r="F177" s="37" t="n">
        <v>0</v>
      </c>
      <c r="G177" s="46" t="str">
        <f aca="false">IF(F177=0,"",SUMIFS('Invoice Register'!$G$6:$G$405,'Invoice Register'!$B$6:$B$405,B177,'Invoice Register'!$K$6:$K$405,"Paid")+SUMIFS('Invoice Register'!$G$6:$G$405,'Invoice Register'!$B$6:$B$405,B177,'Invoice Register'!$K$6:$K$405,"Approved"))</f>
        <v/>
      </c>
      <c r="H177" s="44" t="str">
        <f aca="false">IF(F177=0,"",MAX(0,F177-G177))</f>
        <v/>
      </c>
      <c r="I177" s="36"/>
      <c r="J177" s="36"/>
      <c r="K177" s="4"/>
      <c r="L177" s="5"/>
    </row>
    <row r="178" customFormat="false" ht="15.75" hidden="false" customHeight="true" outlineLevel="0" collapsed="false">
      <c r="B178" s="32"/>
      <c r="C178" s="32"/>
      <c r="D178" s="33"/>
      <c r="E178" s="32"/>
      <c r="F178" s="34" t="n">
        <v>0</v>
      </c>
      <c r="G178" s="43" t="str">
        <f aca="false">IF(F178=0,"",SUMIFS('Invoice Register'!$G$6:$G$405,'Invoice Register'!$B$6:$B$405,B178,'Invoice Register'!$K$6:$K$405,"Paid")+SUMIFS('Invoice Register'!$G$6:$G$405,'Invoice Register'!$B$6:$B$405,B178,'Invoice Register'!$K$6:$K$405,"Approved"))</f>
        <v/>
      </c>
      <c r="H178" s="44" t="str">
        <f aca="false">IF(F178=0,"",MAX(0,F178-G178))</f>
        <v/>
      </c>
      <c r="I178" s="32"/>
      <c r="J178" s="32"/>
      <c r="K178" s="33"/>
      <c r="L178" s="13"/>
    </row>
    <row r="179" customFormat="false" ht="15.75" hidden="false" customHeight="true" outlineLevel="0" collapsed="false">
      <c r="B179" s="36"/>
      <c r="C179" s="36"/>
      <c r="D179" s="4"/>
      <c r="E179" s="36"/>
      <c r="F179" s="37" t="n">
        <v>0</v>
      </c>
      <c r="G179" s="46" t="str">
        <f aca="false">IF(F179=0,"",SUMIFS('Invoice Register'!$G$6:$G$405,'Invoice Register'!$B$6:$B$405,B179,'Invoice Register'!$K$6:$K$405,"Paid")+SUMIFS('Invoice Register'!$G$6:$G$405,'Invoice Register'!$B$6:$B$405,B179,'Invoice Register'!$K$6:$K$405,"Approved"))</f>
        <v/>
      </c>
      <c r="H179" s="44" t="str">
        <f aca="false">IF(F179=0,"",MAX(0,F179-G179))</f>
        <v/>
      </c>
      <c r="I179" s="36"/>
      <c r="J179" s="36"/>
      <c r="K179" s="4"/>
      <c r="L179" s="5"/>
    </row>
    <row r="180" customFormat="false" ht="15.75" hidden="false" customHeight="true" outlineLevel="0" collapsed="false">
      <c r="B180" s="32"/>
      <c r="C180" s="32"/>
      <c r="D180" s="33"/>
      <c r="E180" s="32"/>
      <c r="F180" s="34" t="n">
        <v>0</v>
      </c>
      <c r="G180" s="43" t="str">
        <f aca="false">IF(F180=0,"",SUMIFS('Invoice Register'!$G$6:$G$405,'Invoice Register'!$B$6:$B$405,B180,'Invoice Register'!$K$6:$K$405,"Paid")+SUMIFS('Invoice Register'!$G$6:$G$405,'Invoice Register'!$B$6:$B$405,B180,'Invoice Register'!$K$6:$K$405,"Approved"))</f>
        <v/>
      </c>
      <c r="H180" s="44" t="str">
        <f aca="false">IF(F180=0,"",MAX(0,F180-G180))</f>
        <v/>
      </c>
      <c r="I180" s="32"/>
      <c r="J180" s="32"/>
      <c r="K180" s="33"/>
      <c r="L180" s="13"/>
    </row>
    <row r="181" customFormat="false" ht="15.75" hidden="false" customHeight="true" outlineLevel="0" collapsed="false">
      <c r="B181" s="36"/>
      <c r="C181" s="36"/>
      <c r="D181" s="4"/>
      <c r="E181" s="36"/>
      <c r="F181" s="37" t="n">
        <v>0</v>
      </c>
      <c r="G181" s="46" t="str">
        <f aca="false">IF(F181=0,"",SUMIFS('Invoice Register'!$G$6:$G$405,'Invoice Register'!$B$6:$B$405,B181,'Invoice Register'!$K$6:$K$405,"Paid")+SUMIFS('Invoice Register'!$G$6:$G$405,'Invoice Register'!$B$6:$B$405,B181,'Invoice Register'!$K$6:$K$405,"Approved"))</f>
        <v/>
      </c>
      <c r="H181" s="44" t="str">
        <f aca="false">IF(F181=0,"",MAX(0,F181-G181))</f>
        <v/>
      </c>
      <c r="I181" s="36"/>
      <c r="J181" s="36"/>
      <c r="K181" s="4"/>
      <c r="L181" s="5"/>
    </row>
    <row r="182" customFormat="false" ht="15.75" hidden="false" customHeight="true" outlineLevel="0" collapsed="false">
      <c r="B182" s="32"/>
      <c r="C182" s="32"/>
      <c r="D182" s="33"/>
      <c r="E182" s="32"/>
      <c r="F182" s="34" t="n">
        <v>0</v>
      </c>
      <c r="G182" s="43" t="str">
        <f aca="false">IF(F182=0,"",SUMIFS('Invoice Register'!$G$6:$G$405,'Invoice Register'!$B$6:$B$405,B182,'Invoice Register'!$K$6:$K$405,"Paid")+SUMIFS('Invoice Register'!$G$6:$G$405,'Invoice Register'!$B$6:$B$405,B182,'Invoice Register'!$K$6:$K$405,"Approved"))</f>
        <v/>
      </c>
      <c r="H182" s="44" t="str">
        <f aca="false">IF(F182=0,"",MAX(0,F182-G182))</f>
        <v/>
      </c>
      <c r="I182" s="32"/>
      <c r="J182" s="32"/>
      <c r="K182" s="33"/>
      <c r="L182" s="13"/>
    </row>
    <row r="183" customFormat="false" ht="15.75" hidden="false" customHeight="true" outlineLevel="0" collapsed="false">
      <c r="B183" s="36"/>
      <c r="C183" s="36"/>
      <c r="D183" s="4"/>
      <c r="E183" s="36"/>
      <c r="F183" s="37" t="n">
        <v>0</v>
      </c>
      <c r="G183" s="46" t="str">
        <f aca="false">IF(F183=0,"",SUMIFS('Invoice Register'!$G$6:$G$405,'Invoice Register'!$B$6:$B$405,B183,'Invoice Register'!$K$6:$K$405,"Paid")+SUMIFS('Invoice Register'!$G$6:$G$405,'Invoice Register'!$B$6:$B$405,B183,'Invoice Register'!$K$6:$K$405,"Approved"))</f>
        <v/>
      </c>
      <c r="H183" s="44" t="str">
        <f aca="false">IF(F183=0,"",MAX(0,F183-G183))</f>
        <v/>
      </c>
      <c r="I183" s="36"/>
      <c r="J183" s="36"/>
      <c r="K183" s="4"/>
      <c r="L183" s="5"/>
    </row>
    <row r="184" customFormat="false" ht="15.75" hidden="false" customHeight="true" outlineLevel="0" collapsed="false">
      <c r="B184" s="32"/>
      <c r="C184" s="32"/>
      <c r="D184" s="33"/>
      <c r="E184" s="32"/>
      <c r="F184" s="34" t="n">
        <v>0</v>
      </c>
      <c r="G184" s="43" t="str">
        <f aca="false">IF(F184=0,"",SUMIFS('Invoice Register'!$G$6:$G$405,'Invoice Register'!$B$6:$B$405,B184,'Invoice Register'!$K$6:$K$405,"Paid")+SUMIFS('Invoice Register'!$G$6:$G$405,'Invoice Register'!$B$6:$B$405,B184,'Invoice Register'!$K$6:$K$405,"Approved"))</f>
        <v/>
      </c>
      <c r="H184" s="44" t="str">
        <f aca="false">IF(F184=0,"",MAX(0,F184-G184))</f>
        <v/>
      </c>
      <c r="I184" s="32"/>
      <c r="J184" s="32"/>
      <c r="K184" s="33"/>
      <c r="L184" s="13"/>
    </row>
    <row r="185" customFormat="false" ht="15.75" hidden="false" customHeight="true" outlineLevel="0" collapsed="false">
      <c r="B185" s="36"/>
      <c r="C185" s="36"/>
      <c r="D185" s="4"/>
      <c r="E185" s="36"/>
      <c r="F185" s="37" t="n">
        <v>0</v>
      </c>
      <c r="G185" s="46" t="str">
        <f aca="false">IF(F185=0,"",SUMIFS('Invoice Register'!$G$6:$G$405,'Invoice Register'!$B$6:$B$405,B185,'Invoice Register'!$K$6:$K$405,"Paid")+SUMIFS('Invoice Register'!$G$6:$G$405,'Invoice Register'!$B$6:$B$405,B185,'Invoice Register'!$K$6:$K$405,"Approved"))</f>
        <v/>
      </c>
      <c r="H185" s="44" t="str">
        <f aca="false">IF(F185=0,"",MAX(0,F185-G185))</f>
        <v/>
      </c>
      <c r="I185" s="36"/>
      <c r="J185" s="36"/>
      <c r="K185" s="4"/>
      <c r="L185" s="5"/>
    </row>
    <row r="186" customFormat="false" ht="15.75" hidden="false" customHeight="true" outlineLevel="0" collapsed="false">
      <c r="B186" s="32"/>
      <c r="C186" s="32"/>
      <c r="D186" s="33"/>
      <c r="E186" s="32"/>
      <c r="F186" s="34" t="n">
        <v>0</v>
      </c>
      <c r="G186" s="43" t="str">
        <f aca="false">IF(F186=0,"",SUMIFS('Invoice Register'!$G$6:$G$405,'Invoice Register'!$B$6:$B$405,B186,'Invoice Register'!$K$6:$K$405,"Paid")+SUMIFS('Invoice Register'!$G$6:$G$405,'Invoice Register'!$B$6:$B$405,B186,'Invoice Register'!$K$6:$K$405,"Approved"))</f>
        <v/>
      </c>
      <c r="H186" s="44" t="str">
        <f aca="false">IF(F186=0,"",MAX(0,F186-G186))</f>
        <v/>
      </c>
      <c r="I186" s="32"/>
      <c r="J186" s="32"/>
      <c r="K186" s="33"/>
      <c r="L186" s="13"/>
    </row>
    <row r="187" customFormat="false" ht="15.75" hidden="false" customHeight="true" outlineLevel="0" collapsed="false">
      <c r="B187" s="36"/>
      <c r="C187" s="36"/>
      <c r="D187" s="4"/>
      <c r="E187" s="36"/>
      <c r="F187" s="37" t="n">
        <v>0</v>
      </c>
      <c r="G187" s="46" t="str">
        <f aca="false">IF(F187=0,"",SUMIFS('Invoice Register'!$G$6:$G$405,'Invoice Register'!$B$6:$B$405,B187,'Invoice Register'!$K$6:$K$405,"Paid")+SUMIFS('Invoice Register'!$G$6:$G$405,'Invoice Register'!$B$6:$B$405,B187,'Invoice Register'!$K$6:$K$405,"Approved"))</f>
        <v/>
      </c>
      <c r="H187" s="44" t="str">
        <f aca="false">IF(F187=0,"",MAX(0,F187-G187))</f>
        <v/>
      </c>
      <c r="I187" s="36"/>
      <c r="J187" s="36"/>
      <c r="K187" s="4"/>
      <c r="L187" s="5"/>
    </row>
    <row r="188" customFormat="false" ht="15.75" hidden="false" customHeight="true" outlineLevel="0" collapsed="false">
      <c r="B188" s="32"/>
      <c r="C188" s="32"/>
      <c r="D188" s="33"/>
      <c r="E188" s="32"/>
      <c r="F188" s="34" t="n">
        <v>0</v>
      </c>
      <c r="G188" s="43" t="str">
        <f aca="false">IF(F188=0,"",SUMIFS('Invoice Register'!$G$6:$G$405,'Invoice Register'!$B$6:$B$405,B188,'Invoice Register'!$K$6:$K$405,"Paid")+SUMIFS('Invoice Register'!$G$6:$G$405,'Invoice Register'!$B$6:$B$405,B188,'Invoice Register'!$K$6:$K$405,"Approved"))</f>
        <v/>
      </c>
      <c r="H188" s="44" t="str">
        <f aca="false">IF(F188=0,"",MAX(0,F188-G188))</f>
        <v/>
      </c>
      <c r="I188" s="32"/>
      <c r="J188" s="32"/>
      <c r="K188" s="33"/>
      <c r="L188" s="13"/>
    </row>
    <row r="189" customFormat="false" ht="15.75" hidden="false" customHeight="true" outlineLevel="0" collapsed="false">
      <c r="B189" s="36"/>
      <c r="C189" s="36"/>
      <c r="D189" s="4"/>
      <c r="E189" s="36"/>
      <c r="F189" s="37" t="n">
        <v>0</v>
      </c>
      <c r="G189" s="46" t="str">
        <f aca="false">IF(F189=0,"",SUMIFS('Invoice Register'!$G$6:$G$405,'Invoice Register'!$B$6:$B$405,B189,'Invoice Register'!$K$6:$K$405,"Paid")+SUMIFS('Invoice Register'!$G$6:$G$405,'Invoice Register'!$B$6:$B$405,B189,'Invoice Register'!$K$6:$K$405,"Approved"))</f>
        <v/>
      </c>
      <c r="H189" s="44" t="str">
        <f aca="false">IF(F189=0,"",MAX(0,F189-G189))</f>
        <v/>
      </c>
      <c r="I189" s="36"/>
      <c r="J189" s="36"/>
      <c r="K189" s="4"/>
      <c r="L189" s="5"/>
    </row>
    <row r="190" customFormat="false" ht="15.75" hidden="false" customHeight="true" outlineLevel="0" collapsed="false">
      <c r="B190" s="32"/>
      <c r="C190" s="32"/>
      <c r="D190" s="33"/>
      <c r="E190" s="32"/>
      <c r="F190" s="34" t="n">
        <v>0</v>
      </c>
      <c r="G190" s="43" t="str">
        <f aca="false">IF(F190=0,"",SUMIFS('Invoice Register'!$G$6:$G$405,'Invoice Register'!$B$6:$B$405,B190,'Invoice Register'!$K$6:$K$405,"Paid")+SUMIFS('Invoice Register'!$G$6:$G$405,'Invoice Register'!$B$6:$B$405,B190,'Invoice Register'!$K$6:$K$405,"Approved"))</f>
        <v/>
      </c>
      <c r="H190" s="44" t="str">
        <f aca="false">IF(F190=0,"",MAX(0,F190-G190))</f>
        <v/>
      </c>
      <c r="I190" s="32"/>
      <c r="J190" s="32"/>
      <c r="K190" s="33"/>
      <c r="L190" s="13"/>
    </row>
    <row r="191" customFormat="false" ht="15.75" hidden="false" customHeight="true" outlineLevel="0" collapsed="false">
      <c r="B191" s="36"/>
      <c r="C191" s="36"/>
      <c r="D191" s="4"/>
      <c r="E191" s="36"/>
      <c r="F191" s="37" t="n">
        <v>0</v>
      </c>
      <c r="G191" s="46" t="str">
        <f aca="false">IF(F191=0,"",SUMIFS('Invoice Register'!$G$6:$G$405,'Invoice Register'!$B$6:$B$405,B191,'Invoice Register'!$K$6:$K$405,"Paid")+SUMIFS('Invoice Register'!$G$6:$G$405,'Invoice Register'!$B$6:$B$405,B191,'Invoice Register'!$K$6:$K$405,"Approved"))</f>
        <v/>
      </c>
      <c r="H191" s="44" t="str">
        <f aca="false">IF(F191=0,"",MAX(0,F191-G191))</f>
        <v/>
      </c>
      <c r="I191" s="36"/>
      <c r="J191" s="36"/>
      <c r="K191" s="4"/>
      <c r="L191" s="5"/>
    </row>
    <row r="192" customFormat="false" ht="15.75" hidden="false" customHeight="true" outlineLevel="0" collapsed="false">
      <c r="B192" s="32"/>
      <c r="C192" s="32"/>
      <c r="D192" s="33"/>
      <c r="E192" s="32"/>
      <c r="F192" s="34" t="n">
        <v>0</v>
      </c>
      <c r="G192" s="43" t="str">
        <f aca="false">IF(F192=0,"",SUMIFS('Invoice Register'!$G$6:$G$405,'Invoice Register'!$B$6:$B$405,B192,'Invoice Register'!$K$6:$K$405,"Paid")+SUMIFS('Invoice Register'!$G$6:$G$405,'Invoice Register'!$B$6:$B$405,B192,'Invoice Register'!$K$6:$K$405,"Approved"))</f>
        <v/>
      </c>
      <c r="H192" s="44" t="str">
        <f aca="false">IF(F192=0,"",MAX(0,F192-G192))</f>
        <v/>
      </c>
      <c r="I192" s="32"/>
      <c r="J192" s="32"/>
      <c r="K192" s="33"/>
      <c r="L192" s="13"/>
    </row>
    <row r="193" customFormat="false" ht="15.75" hidden="false" customHeight="true" outlineLevel="0" collapsed="false">
      <c r="B193" s="36"/>
      <c r="C193" s="36"/>
      <c r="D193" s="4"/>
      <c r="E193" s="36"/>
      <c r="F193" s="37" t="n">
        <v>0</v>
      </c>
      <c r="G193" s="46" t="str">
        <f aca="false">IF(F193=0,"",SUMIFS('Invoice Register'!$G$6:$G$405,'Invoice Register'!$B$6:$B$405,B193,'Invoice Register'!$K$6:$K$405,"Paid")+SUMIFS('Invoice Register'!$G$6:$G$405,'Invoice Register'!$B$6:$B$405,B193,'Invoice Register'!$K$6:$K$405,"Approved"))</f>
        <v/>
      </c>
      <c r="H193" s="44" t="str">
        <f aca="false">IF(F193=0,"",MAX(0,F193-G193))</f>
        <v/>
      </c>
      <c r="I193" s="36"/>
      <c r="J193" s="36"/>
      <c r="K193" s="4"/>
      <c r="L193" s="5"/>
    </row>
    <row r="194" customFormat="false" ht="15.75" hidden="false" customHeight="true" outlineLevel="0" collapsed="false">
      <c r="B194" s="32"/>
      <c r="C194" s="32"/>
      <c r="D194" s="33"/>
      <c r="E194" s="32"/>
      <c r="F194" s="34" t="n">
        <v>0</v>
      </c>
      <c r="G194" s="43" t="str">
        <f aca="false">IF(F194=0,"",SUMIFS('Invoice Register'!$G$6:$G$405,'Invoice Register'!$B$6:$B$405,B194,'Invoice Register'!$K$6:$K$405,"Paid")+SUMIFS('Invoice Register'!$G$6:$G$405,'Invoice Register'!$B$6:$B$405,B194,'Invoice Register'!$K$6:$K$405,"Approved"))</f>
        <v/>
      </c>
      <c r="H194" s="44" t="str">
        <f aca="false">IF(F194=0,"",MAX(0,F194-G194))</f>
        <v/>
      </c>
      <c r="I194" s="32"/>
      <c r="J194" s="32"/>
      <c r="K194" s="33"/>
      <c r="L194" s="13"/>
    </row>
    <row r="195" customFormat="false" ht="15.75" hidden="false" customHeight="true" outlineLevel="0" collapsed="false">
      <c r="B195" s="36"/>
      <c r="C195" s="36"/>
      <c r="D195" s="4"/>
      <c r="E195" s="36"/>
      <c r="F195" s="37" t="n">
        <v>0</v>
      </c>
      <c r="G195" s="46" t="str">
        <f aca="false">IF(F195=0,"",SUMIFS('Invoice Register'!$G$6:$G$405,'Invoice Register'!$B$6:$B$405,B195,'Invoice Register'!$K$6:$K$405,"Paid")+SUMIFS('Invoice Register'!$G$6:$G$405,'Invoice Register'!$B$6:$B$405,B195,'Invoice Register'!$K$6:$K$405,"Approved"))</f>
        <v/>
      </c>
      <c r="H195" s="44" t="str">
        <f aca="false">IF(F195=0,"",MAX(0,F195-G195))</f>
        <v/>
      </c>
      <c r="I195" s="36"/>
      <c r="J195" s="36"/>
      <c r="K195" s="4"/>
      <c r="L195" s="5"/>
    </row>
    <row r="196" customFormat="false" ht="15.75" hidden="false" customHeight="true" outlineLevel="0" collapsed="false">
      <c r="B196" s="32"/>
      <c r="C196" s="32"/>
      <c r="D196" s="33"/>
      <c r="E196" s="32"/>
      <c r="F196" s="34" t="n">
        <v>0</v>
      </c>
      <c r="G196" s="43" t="str">
        <f aca="false">IF(F196=0,"",SUMIFS('Invoice Register'!$G$6:$G$405,'Invoice Register'!$B$6:$B$405,B196,'Invoice Register'!$K$6:$K$405,"Paid")+SUMIFS('Invoice Register'!$G$6:$G$405,'Invoice Register'!$B$6:$B$405,B196,'Invoice Register'!$K$6:$K$405,"Approved"))</f>
        <v/>
      </c>
      <c r="H196" s="44" t="str">
        <f aca="false">IF(F196=0,"",MAX(0,F196-G196))</f>
        <v/>
      </c>
      <c r="I196" s="32"/>
      <c r="J196" s="32"/>
      <c r="K196" s="33"/>
      <c r="L196" s="13"/>
    </row>
    <row r="197" customFormat="false" ht="15.75" hidden="false" customHeight="true" outlineLevel="0" collapsed="false">
      <c r="B197" s="36"/>
      <c r="C197" s="36"/>
      <c r="D197" s="4"/>
      <c r="E197" s="36"/>
      <c r="F197" s="37" t="n">
        <v>0</v>
      </c>
      <c r="G197" s="46" t="str">
        <f aca="false">IF(F197=0,"",SUMIFS('Invoice Register'!$G$6:$G$405,'Invoice Register'!$B$6:$B$405,B197,'Invoice Register'!$K$6:$K$405,"Paid")+SUMIFS('Invoice Register'!$G$6:$G$405,'Invoice Register'!$B$6:$B$405,B197,'Invoice Register'!$K$6:$K$405,"Approved"))</f>
        <v/>
      </c>
      <c r="H197" s="44" t="str">
        <f aca="false">IF(F197=0,"",MAX(0,F197-G197))</f>
        <v/>
      </c>
      <c r="I197" s="36"/>
      <c r="J197" s="36"/>
      <c r="K197" s="4"/>
      <c r="L197" s="5"/>
    </row>
    <row r="198" customFormat="false" ht="15.75" hidden="false" customHeight="true" outlineLevel="0" collapsed="false">
      <c r="B198" s="32"/>
      <c r="C198" s="32"/>
      <c r="D198" s="33"/>
      <c r="E198" s="32"/>
      <c r="F198" s="34" t="n">
        <v>0</v>
      </c>
      <c r="G198" s="43" t="str">
        <f aca="false">IF(F198=0,"",SUMIFS('Invoice Register'!$G$6:$G$405,'Invoice Register'!$B$6:$B$405,B198,'Invoice Register'!$K$6:$K$405,"Paid")+SUMIFS('Invoice Register'!$G$6:$G$405,'Invoice Register'!$B$6:$B$405,B198,'Invoice Register'!$K$6:$K$405,"Approved"))</f>
        <v/>
      </c>
      <c r="H198" s="44" t="str">
        <f aca="false">IF(F198=0,"",MAX(0,F198-G198))</f>
        <v/>
      </c>
      <c r="I198" s="32"/>
      <c r="J198" s="32"/>
      <c r="K198" s="33"/>
      <c r="L198" s="13"/>
    </row>
    <row r="199" customFormat="false" ht="15.75" hidden="false" customHeight="true" outlineLevel="0" collapsed="false">
      <c r="B199" s="36"/>
      <c r="C199" s="36"/>
      <c r="D199" s="4"/>
      <c r="E199" s="36"/>
      <c r="F199" s="37" t="n">
        <v>0</v>
      </c>
      <c r="G199" s="46" t="str">
        <f aca="false">IF(F199=0,"",SUMIFS('Invoice Register'!$G$6:$G$405,'Invoice Register'!$B$6:$B$405,B199,'Invoice Register'!$K$6:$K$405,"Paid")+SUMIFS('Invoice Register'!$G$6:$G$405,'Invoice Register'!$B$6:$B$405,B199,'Invoice Register'!$K$6:$K$405,"Approved"))</f>
        <v/>
      </c>
      <c r="H199" s="44" t="str">
        <f aca="false">IF(F199=0,"",MAX(0,F199-G199))</f>
        <v/>
      </c>
      <c r="I199" s="36"/>
      <c r="J199" s="36"/>
      <c r="K199" s="4"/>
      <c r="L199" s="5"/>
    </row>
    <row r="200" customFormat="false" ht="15.75" hidden="false" customHeight="true" outlineLevel="0" collapsed="false">
      <c r="B200" s="32"/>
      <c r="C200" s="32"/>
      <c r="D200" s="33"/>
      <c r="E200" s="32"/>
      <c r="F200" s="34" t="n">
        <v>0</v>
      </c>
      <c r="G200" s="43" t="str">
        <f aca="false">IF(F200=0,"",SUMIFS('Invoice Register'!$G$6:$G$405,'Invoice Register'!$B$6:$B$405,B200,'Invoice Register'!$K$6:$K$405,"Paid")+SUMIFS('Invoice Register'!$G$6:$G$405,'Invoice Register'!$B$6:$B$405,B200,'Invoice Register'!$K$6:$K$405,"Approved"))</f>
        <v/>
      </c>
      <c r="H200" s="44" t="str">
        <f aca="false">IF(F200=0,"",MAX(0,F200-G200))</f>
        <v/>
      </c>
      <c r="I200" s="32"/>
      <c r="J200" s="32"/>
      <c r="K200" s="33"/>
      <c r="L200" s="13"/>
    </row>
    <row r="201" customFormat="false" ht="15.75" hidden="false" customHeight="true" outlineLevel="0" collapsed="false">
      <c r="B201" s="36"/>
      <c r="C201" s="36"/>
      <c r="D201" s="4"/>
      <c r="E201" s="36"/>
      <c r="F201" s="37" t="n">
        <v>0</v>
      </c>
      <c r="G201" s="46" t="str">
        <f aca="false">IF(F201=0,"",SUMIFS('Invoice Register'!$G$6:$G$405,'Invoice Register'!$B$6:$B$405,B201,'Invoice Register'!$K$6:$K$405,"Paid")+SUMIFS('Invoice Register'!$G$6:$G$405,'Invoice Register'!$B$6:$B$405,B201,'Invoice Register'!$K$6:$K$405,"Approved"))</f>
        <v/>
      </c>
      <c r="H201" s="44" t="str">
        <f aca="false">IF(F201=0,"",MAX(0,F201-G201))</f>
        <v/>
      </c>
      <c r="I201" s="36"/>
      <c r="J201" s="36"/>
      <c r="K201" s="4"/>
      <c r="L201" s="5"/>
    </row>
    <row r="202" customFormat="false" ht="15.75" hidden="false" customHeight="true" outlineLevel="0" collapsed="false">
      <c r="B202" s="32"/>
      <c r="C202" s="32"/>
      <c r="D202" s="33"/>
      <c r="E202" s="32"/>
      <c r="F202" s="34" t="n">
        <v>0</v>
      </c>
      <c r="G202" s="43" t="str">
        <f aca="false">IF(F202=0,"",SUMIFS('Invoice Register'!$G$6:$G$405,'Invoice Register'!$B$6:$B$405,B202,'Invoice Register'!$K$6:$K$405,"Paid")+SUMIFS('Invoice Register'!$G$6:$G$405,'Invoice Register'!$B$6:$B$405,B202,'Invoice Register'!$K$6:$K$405,"Approved"))</f>
        <v/>
      </c>
      <c r="H202" s="44" t="str">
        <f aca="false">IF(F202=0,"",MAX(0,F202-G202))</f>
        <v/>
      </c>
      <c r="I202" s="32"/>
      <c r="J202" s="32"/>
      <c r="K202" s="33"/>
      <c r="L202" s="13"/>
    </row>
    <row r="203" customFormat="false" ht="15.75" hidden="false" customHeight="true" outlineLevel="0" collapsed="false">
      <c r="B203" s="36"/>
      <c r="C203" s="36"/>
      <c r="D203" s="4"/>
      <c r="E203" s="36"/>
      <c r="F203" s="37" t="n">
        <v>0</v>
      </c>
      <c r="G203" s="46" t="str">
        <f aca="false">IF(F203=0,"",SUMIFS('Invoice Register'!$G$6:$G$405,'Invoice Register'!$B$6:$B$405,B203,'Invoice Register'!$K$6:$K$405,"Paid")+SUMIFS('Invoice Register'!$G$6:$G$405,'Invoice Register'!$B$6:$B$405,B203,'Invoice Register'!$K$6:$K$405,"Approved"))</f>
        <v/>
      </c>
      <c r="H203" s="44" t="str">
        <f aca="false">IF(F203=0,"",MAX(0,F203-G203))</f>
        <v/>
      </c>
      <c r="I203" s="36"/>
      <c r="J203" s="36"/>
      <c r="K203" s="4"/>
      <c r="L203" s="5"/>
    </row>
    <row r="204" customFormat="false" ht="15.75" hidden="false" customHeight="true" outlineLevel="0" collapsed="false">
      <c r="B204" s="32"/>
      <c r="C204" s="32"/>
      <c r="D204" s="33"/>
      <c r="E204" s="32"/>
      <c r="F204" s="34" t="n">
        <v>0</v>
      </c>
      <c r="G204" s="43" t="str">
        <f aca="false">IF(F204=0,"",SUMIFS('Invoice Register'!$G$6:$G$405,'Invoice Register'!$B$6:$B$405,B204,'Invoice Register'!$K$6:$K$405,"Paid")+SUMIFS('Invoice Register'!$G$6:$G$405,'Invoice Register'!$B$6:$B$405,B204,'Invoice Register'!$K$6:$K$405,"Approved"))</f>
        <v/>
      </c>
      <c r="H204" s="44" t="str">
        <f aca="false">IF(F204=0,"",MAX(0,F204-G204))</f>
        <v/>
      </c>
      <c r="I204" s="32"/>
      <c r="J204" s="32"/>
      <c r="K204" s="33"/>
      <c r="L204" s="13"/>
    </row>
    <row r="205" customFormat="false" ht="15.75" hidden="false" customHeight="true" outlineLevel="0" collapsed="false">
      <c r="B205" s="36"/>
      <c r="C205" s="36"/>
      <c r="D205" s="4"/>
      <c r="E205" s="36"/>
      <c r="F205" s="37" t="n">
        <v>0</v>
      </c>
      <c r="G205" s="46" t="str">
        <f aca="false">IF(F205=0,"",SUMIFS('Invoice Register'!$G$6:$G$405,'Invoice Register'!$B$6:$B$405,B205,'Invoice Register'!$K$6:$K$405,"Paid")+SUMIFS('Invoice Register'!$G$6:$G$405,'Invoice Register'!$B$6:$B$405,B205,'Invoice Register'!$K$6:$K$405,"Approved"))</f>
        <v/>
      </c>
      <c r="H205" s="44" t="str">
        <f aca="false">IF(F205=0,"",MAX(0,F205-G205))</f>
        <v/>
      </c>
      <c r="I205" s="36"/>
      <c r="J205" s="36"/>
      <c r="K205" s="4"/>
      <c r="L205" s="5"/>
    </row>
    <row r="206" customFormat="false" ht="19.5" hidden="false" customHeight="true" outlineLevel="0" collapsed="false">
      <c r="B206" s="38" t="s">
        <v>560</v>
      </c>
      <c r="C206" s="2"/>
      <c r="D206" s="2"/>
      <c r="E206" s="2"/>
      <c r="F206" s="39" t="n">
        <f aca="false">SUM(F6:F205)</f>
        <v>0</v>
      </c>
      <c r="G206" s="39" t="n">
        <f aca="false">SUM(G6:G205)</f>
        <v>0</v>
      </c>
      <c r="H206" s="39" t="n">
        <f aca="false">SUM(H6:H205)</f>
        <v>0</v>
      </c>
      <c r="I206" s="2"/>
      <c r="J206" s="2"/>
      <c r="K206" s="2"/>
      <c r="L20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C1E"/>
    <pageSetUpPr fitToPage="true"/>
  </sheetPr>
  <dimension ref="B2:Q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15" min="4" style="0" width="12"/>
    <col collapsed="false" customWidth="true" hidden="false" outlineLevel="0" max="17" min="16" style="0" width="14"/>
  </cols>
  <sheetData>
    <row r="2" customFormat="false" ht="39.75" hidden="false" customHeight="true" outlineLevel="0" collapsed="false">
      <c r="B2" s="1" t="s">
        <v>579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4.5" hidden="false" customHeight="true" outlineLevel="0" collapsed="false"/>
    <row r="4" customFormat="false" ht="15.75" hidden="false" customHeight="true" outlineLevel="0" collapsed="false">
      <c r="B4" s="29" t="s">
        <v>580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4.5" hidden="false" customHeight="true" outlineLevel="0" collapsed="false"/>
    <row r="6" customFormat="false" ht="25.5" hidden="false" customHeight="true" outlineLevel="0" collapsed="false">
      <c r="B6" s="15" t="s">
        <v>19</v>
      </c>
      <c r="C6" s="15" t="s">
        <v>20</v>
      </c>
      <c r="D6" s="15" t="s">
        <v>581</v>
      </c>
      <c r="E6" s="15" t="s">
        <v>582</v>
      </c>
      <c r="F6" s="15" t="s">
        <v>583</v>
      </c>
      <c r="G6" s="15" t="s">
        <v>584</v>
      </c>
      <c r="H6" s="15" t="s">
        <v>585</v>
      </c>
      <c r="I6" s="15" t="s">
        <v>586</v>
      </c>
      <c r="J6" s="15" t="s">
        <v>587</v>
      </c>
      <c r="K6" s="15" t="s">
        <v>588</v>
      </c>
      <c r="L6" s="15" t="s">
        <v>589</v>
      </c>
      <c r="M6" s="15" t="s">
        <v>590</v>
      </c>
      <c r="N6" s="15" t="s">
        <v>591</v>
      </c>
      <c r="O6" s="15" t="s">
        <v>592</v>
      </c>
      <c r="P6" s="50" t="s">
        <v>593</v>
      </c>
      <c r="Q6" s="50" t="s">
        <v>594</v>
      </c>
    </row>
    <row r="7" customFormat="false" ht="15" hidden="false" customHeight="true" outlineLevel="0" collapsed="false">
      <c r="B7" s="16" t="str">
        <f aca="false">'BOQ Summary'!B10</f>
        <v>001</v>
      </c>
      <c r="C7" s="17" t="str">
        <f aca="false">'BOQ Summary'!C10</f>
        <v>PRELIMINARY COSTS, CONSULTANT FEES, SITE ESTABLISHMENT</v>
      </c>
      <c r="D7" s="51" t="n">
        <v>0</v>
      </c>
      <c r="E7" s="51" t="n">
        <v>0</v>
      </c>
      <c r="F7" s="51" t="n">
        <v>0</v>
      </c>
      <c r="G7" s="51" t="n">
        <v>0</v>
      </c>
      <c r="H7" s="51" t="n">
        <v>0</v>
      </c>
      <c r="I7" s="51" t="n">
        <v>0</v>
      </c>
      <c r="J7" s="51" t="n">
        <v>0</v>
      </c>
      <c r="K7" s="51" t="n">
        <v>0</v>
      </c>
      <c r="L7" s="51" t="n">
        <v>0</v>
      </c>
      <c r="M7" s="51" t="n">
        <v>0</v>
      </c>
      <c r="N7" s="51" t="n">
        <v>0</v>
      </c>
      <c r="O7" s="51" t="n">
        <v>0</v>
      </c>
      <c r="P7" s="45" t="n">
        <f aca="false">SUM(D7:O7)</f>
        <v>0</v>
      </c>
      <c r="Q7" s="18" t="n">
        <f aca="false">'BOQ Summary'!G10</f>
        <v>0</v>
      </c>
    </row>
    <row r="8" customFormat="false" ht="15" hidden="false" customHeight="true" outlineLevel="0" collapsed="false">
      <c r="B8" s="21" t="str">
        <f aca="false">'BOQ Summary'!B11</f>
        <v>002</v>
      </c>
      <c r="C8" s="22" t="str">
        <f aca="false">'BOQ Summary'!C11</f>
        <v>SITE HIRE ITEMS</v>
      </c>
      <c r="D8" s="52" t="n">
        <v>0</v>
      </c>
      <c r="E8" s="52" t="n">
        <v>0</v>
      </c>
      <c r="F8" s="52" t="n">
        <v>0</v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45" t="n">
        <f aca="false">SUM(D8:O8)</f>
        <v>0</v>
      </c>
      <c r="Q8" s="18" t="n">
        <f aca="false">'BOQ Summary'!G11</f>
        <v>0</v>
      </c>
    </row>
    <row r="9" customFormat="false" ht="15" hidden="false" customHeight="true" outlineLevel="0" collapsed="false">
      <c r="B9" s="16" t="str">
        <f aca="false">'BOQ Summary'!B12</f>
        <v>003</v>
      </c>
      <c r="C9" s="17" t="str">
        <f aca="false">'BOQ Summary'!C12</f>
        <v>SURVEYING - SET-OUT, TBM, PINS</v>
      </c>
      <c r="D9" s="51" t="n">
        <v>0</v>
      </c>
      <c r="E9" s="51" t="n">
        <v>0</v>
      </c>
      <c r="F9" s="51" t="n">
        <v>0</v>
      </c>
      <c r="G9" s="51" t="n">
        <v>0</v>
      </c>
      <c r="H9" s="51" t="n">
        <v>0</v>
      </c>
      <c r="I9" s="51" t="n">
        <v>0</v>
      </c>
      <c r="J9" s="51" t="n">
        <v>0</v>
      </c>
      <c r="K9" s="51" t="n">
        <v>0</v>
      </c>
      <c r="L9" s="51" t="n">
        <v>0</v>
      </c>
      <c r="M9" s="51" t="n">
        <v>0</v>
      </c>
      <c r="N9" s="51" t="n">
        <v>0</v>
      </c>
      <c r="O9" s="51" t="n">
        <v>0</v>
      </c>
      <c r="P9" s="45" t="n">
        <f aca="false">SUM(D9:O9)</f>
        <v>0</v>
      </c>
      <c r="Q9" s="18" t="n">
        <f aca="false">'BOQ Summary'!G12</f>
        <v>0</v>
      </c>
    </row>
    <row r="10" customFormat="false" ht="15" hidden="false" customHeight="true" outlineLevel="0" collapsed="false">
      <c r="B10" s="21" t="str">
        <f aca="false">'BOQ Summary'!B13</f>
        <v>004</v>
      </c>
      <c r="C10" s="22" t="str">
        <f aca="false">'BOQ Summary'!C13</f>
        <v>STRUCTURAL STEEL - SUPPLY AND INSTALLATION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45" t="n">
        <f aca="false">SUM(D10:O10)</f>
        <v>0</v>
      </c>
      <c r="Q10" s="18" t="n">
        <f aca="false">'BOQ Summary'!G13</f>
        <v>0</v>
      </c>
    </row>
    <row r="11" customFormat="false" ht="15" hidden="false" customHeight="true" outlineLevel="0" collapsed="false">
      <c r="B11" s="16" t="str">
        <f aca="false">'BOQ Summary'!B14</f>
        <v>005</v>
      </c>
      <c r="C11" s="17" t="str">
        <f aca="false">'BOQ Summary'!C14</f>
        <v>STRUCTURAL CONCRETE - FOUNDATIONS, PIERS, SLAB</v>
      </c>
      <c r="D11" s="51" t="n">
        <v>0</v>
      </c>
      <c r="E11" s="51" t="n">
        <v>0</v>
      </c>
      <c r="F11" s="51" t="n">
        <v>0</v>
      </c>
      <c r="G11" s="51" t="n">
        <v>0</v>
      </c>
      <c r="H11" s="51" t="n">
        <v>0</v>
      </c>
      <c r="I11" s="51" t="n">
        <v>0</v>
      </c>
      <c r="J11" s="51" t="n">
        <v>0</v>
      </c>
      <c r="K11" s="51" t="n">
        <v>0</v>
      </c>
      <c r="L11" s="51" t="n">
        <v>0</v>
      </c>
      <c r="M11" s="51" t="n">
        <v>0</v>
      </c>
      <c r="N11" s="51" t="n">
        <v>0</v>
      </c>
      <c r="O11" s="51" t="n">
        <v>0</v>
      </c>
      <c r="P11" s="45" t="n">
        <f aca="false">SUM(D11:O11)</f>
        <v>0</v>
      </c>
      <c r="Q11" s="18" t="n">
        <f aca="false">'BOQ Summary'!G14</f>
        <v>0</v>
      </c>
    </row>
    <row r="12" customFormat="false" ht="15" hidden="false" customHeight="true" outlineLevel="0" collapsed="false">
      <c r="B12" s="21" t="str">
        <f aca="false">'BOQ Summary'!B15</f>
        <v>006</v>
      </c>
      <c r="C12" s="22" t="str">
        <f aca="false">'BOQ Summary'!C15</f>
        <v>DRAINAGE PLUMBING - SEPTIC, STORMWATER, AG-DRAINAGE</v>
      </c>
      <c r="D12" s="52" t="n">
        <v>0</v>
      </c>
      <c r="E12" s="52" t="n">
        <v>0</v>
      </c>
      <c r="F12" s="52" t="n">
        <v>0</v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45" t="n">
        <f aca="false">SUM(D12:O12)</f>
        <v>0</v>
      </c>
      <c r="Q12" s="18" t="n">
        <f aca="false">'BOQ Summary'!G15</f>
        <v>0</v>
      </c>
    </row>
    <row r="13" customFormat="false" ht="15" hidden="false" customHeight="true" outlineLevel="0" collapsed="false">
      <c r="B13" s="16" t="str">
        <f aca="false">'BOQ Summary'!B16</f>
        <v>007</v>
      </c>
      <c r="C13" s="17" t="str">
        <f aca="false">'BOQ Summary'!C16</f>
        <v>MEZZANINE &amp; GALLERY / STORAGE FLOOR FRAMING - TIMBER &amp; HARDWARE</v>
      </c>
      <c r="D13" s="51" t="n">
        <v>0</v>
      </c>
      <c r="E13" s="51" t="n">
        <v>0</v>
      </c>
      <c r="F13" s="51" t="n">
        <v>0</v>
      </c>
      <c r="G13" s="51" t="n">
        <v>0</v>
      </c>
      <c r="H13" s="51" t="n">
        <v>0</v>
      </c>
      <c r="I13" s="51" t="n">
        <v>0</v>
      </c>
      <c r="J13" s="51" t="n">
        <v>0</v>
      </c>
      <c r="K13" s="51" t="n">
        <v>0</v>
      </c>
      <c r="L13" s="51" t="n">
        <v>0</v>
      </c>
      <c r="M13" s="51" t="n">
        <v>0</v>
      </c>
      <c r="N13" s="51" t="n">
        <v>0</v>
      </c>
      <c r="O13" s="51" t="n">
        <v>0</v>
      </c>
      <c r="P13" s="45" t="n">
        <f aca="false">SUM(D13:O13)</f>
        <v>0</v>
      </c>
      <c r="Q13" s="18" t="n">
        <f aca="false">'BOQ Summary'!G16</f>
        <v>0</v>
      </c>
    </row>
    <row r="14" customFormat="false" ht="15" hidden="false" customHeight="true" outlineLevel="0" collapsed="false">
      <c r="B14" s="21" t="str">
        <f aca="false">'BOQ Summary'!B17</f>
        <v>008</v>
      </c>
      <c r="C14" s="22" t="str">
        <f aca="false">'BOQ Summary'!C17</f>
        <v>CARPENTRY LABOUR - MEZZANINE FLOOR GRADING &amp; LAYING</v>
      </c>
      <c r="D14" s="52" t="n">
        <v>0</v>
      </c>
      <c r="E14" s="52" t="n">
        <v>0</v>
      </c>
      <c r="F14" s="52" t="n">
        <v>0</v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45" t="n">
        <f aca="false">SUM(D14:O14)</f>
        <v>0</v>
      </c>
      <c r="Q14" s="18" t="n">
        <f aca="false">'BOQ Summary'!G17</f>
        <v>0</v>
      </c>
    </row>
    <row r="15" customFormat="false" ht="15" hidden="false" customHeight="true" outlineLevel="0" collapsed="false">
      <c r="B15" s="16" t="str">
        <f aca="false">'BOQ Summary'!B18</f>
        <v>009</v>
      </c>
      <c r="C15" s="17" t="str">
        <f aca="false">'BOQ Summary'!C18</f>
        <v>TERMITE TREATMENT - SPRAY, PENETRATION COLLARS, BAIT TRAPS</v>
      </c>
      <c r="D15" s="51" t="n">
        <v>0</v>
      </c>
      <c r="E15" s="51" t="n">
        <v>0</v>
      </c>
      <c r="F15" s="51" t="n">
        <v>0</v>
      </c>
      <c r="G15" s="51" t="n">
        <v>0</v>
      </c>
      <c r="H15" s="51" t="n">
        <v>0</v>
      </c>
      <c r="I15" s="51" t="n">
        <v>0</v>
      </c>
      <c r="J15" s="51" t="n">
        <v>0</v>
      </c>
      <c r="K15" s="51" t="n">
        <v>0</v>
      </c>
      <c r="L15" s="51" t="n">
        <v>0</v>
      </c>
      <c r="M15" s="51" t="n">
        <v>0</v>
      </c>
      <c r="N15" s="51" t="n">
        <v>0</v>
      </c>
      <c r="O15" s="51" t="n">
        <v>0</v>
      </c>
      <c r="P15" s="45" t="n">
        <f aca="false">SUM(D15:O15)</f>
        <v>0</v>
      </c>
      <c r="Q15" s="18" t="n">
        <f aca="false">'BOQ Summary'!G18</f>
        <v>0</v>
      </c>
    </row>
    <row r="16" customFormat="false" ht="15" hidden="false" customHeight="true" outlineLevel="0" collapsed="false">
      <c r="B16" s="21" t="str">
        <f aca="false">'BOQ Summary'!B19</f>
        <v>010</v>
      </c>
      <c r="C16" s="22" t="str">
        <f aca="false">'BOQ Summary'!C19</f>
        <v>GROUND FLOOR &amp; RAISED PLATFORM FRAMING - TIMBER &amp; HARDWARE</v>
      </c>
      <c r="D16" s="52" t="n">
        <v>0</v>
      </c>
      <c r="E16" s="52" t="n">
        <v>0</v>
      </c>
      <c r="F16" s="52" t="n">
        <v>0</v>
      </c>
      <c r="G16" s="52" t="n">
        <v>0</v>
      </c>
      <c r="H16" s="52" t="n">
        <v>0</v>
      </c>
      <c r="I16" s="52" t="n">
        <v>0</v>
      </c>
      <c r="J16" s="52" t="n">
        <v>0</v>
      </c>
      <c r="K16" s="52" t="n">
        <v>0</v>
      </c>
      <c r="L16" s="52" t="n">
        <v>0</v>
      </c>
      <c r="M16" s="52" t="n">
        <v>0</v>
      </c>
      <c r="N16" s="52" t="n">
        <v>0</v>
      </c>
      <c r="O16" s="52" t="n">
        <v>0</v>
      </c>
      <c r="P16" s="45" t="n">
        <f aca="false">SUM(D16:O16)</f>
        <v>0</v>
      </c>
      <c r="Q16" s="18" t="n">
        <f aca="false">'BOQ Summary'!G19</f>
        <v>0</v>
      </c>
    </row>
    <row r="17" customFormat="false" ht="15" hidden="false" customHeight="true" outlineLevel="0" collapsed="false">
      <c r="B17" s="16" t="str">
        <f aca="false">'BOQ Summary'!B20</f>
        <v>011</v>
      </c>
      <c r="C17" s="17" t="str">
        <f aca="false">'BOQ Summary'!C20</f>
        <v>FIRST FLOOR FRAMING - TIMBER &amp; HARDWARE</v>
      </c>
      <c r="D17" s="51" t="n">
        <v>0</v>
      </c>
      <c r="E17" s="51" t="n">
        <v>0</v>
      </c>
      <c r="F17" s="51" t="n">
        <v>0</v>
      </c>
      <c r="G17" s="51" t="n">
        <v>0</v>
      </c>
      <c r="H17" s="51" t="n">
        <v>0</v>
      </c>
      <c r="I17" s="51" t="n">
        <v>0</v>
      </c>
      <c r="J17" s="51" t="n">
        <v>0</v>
      </c>
      <c r="K17" s="51" t="n">
        <v>0</v>
      </c>
      <c r="L17" s="51" t="n">
        <v>0</v>
      </c>
      <c r="M17" s="51" t="n">
        <v>0</v>
      </c>
      <c r="N17" s="51" t="n">
        <v>0</v>
      </c>
      <c r="O17" s="51" t="n">
        <v>0</v>
      </c>
      <c r="P17" s="45" t="n">
        <f aca="false">SUM(D17:O17)</f>
        <v>0</v>
      </c>
      <c r="Q17" s="18" t="n">
        <f aca="false">'BOQ Summary'!G20</f>
        <v>0</v>
      </c>
    </row>
    <row r="18" customFormat="false" ht="15" hidden="false" customHeight="true" outlineLevel="0" collapsed="false">
      <c r="B18" s="21" t="str">
        <f aca="false">'BOQ Summary'!B21</f>
        <v>012</v>
      </c>
      <c r="C18" s="22" t="str">
        <f aca="false">'BOQ Summary'!C21</f>
        <v>FRAMING - TIMBER &amp; HARDWARE (MISC)</v>
      </c>
      <c r="D18" s="52" t="n">
        <v>0</v>
      </c>
      <c r="E18" s="52" t="n">
        <v>0</v>
      </c>
      <c r="F18" s="52" t="n">
        <v>0</v>
      </c>
      <c r="G18" s="52" t="n">
        <v>0</v>
      </c>
      <c r="H18" s="52" t="n">
        <v>0</v>
      </c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52" t="n">
        <v>0</v>
      </c>
      <c r="O18" s="52" t="n">
        <v>0</v>
      </c>
      <c r="P18" s="45" t="n">
        <f aca="false">SUM(D18:O18)</f>
        <v>0</v>
      </c>
      <c r="Q18" s="18" t="n">
        <f aca="false">'BOQ Summary'!G21</f>
        <v>0</v>
      </c>
    </row>
    <row r="19" customFormat="false" ht="15" hidden="false" customHeight="true" outlineLevel="0" collapsed="false">
      <c r="B19" s="16" t="str">
        <f aca="false">'BOQ Summary'!B22</f>
        <v>013</v>
      </c>
      <c r="C19" s="17" t="str">
        <f aca="false">'BOQ Summary'!C22</f>
        <v>ROOF TRUSSES - TRUSSES, RAFTERS, POSI-TRUSSES</v>
      </c>
      <c r="D19" s="51" t="n">
        <v>0</v>
      </c>
      <c r="E19" s="51" t="n">
        <v>0</v>
      </c>
      <c r="F19" s="51" t="n">
        <v>0</v>
      </c>
      <c r="G19" s="51" t="n">
        <v>0</v>
      </c>
      <c r="H19" s="51" t="n">
        <v>0</v>
      </c>
      <c r="I19" s="51" t="n">
        <v>0</v>
      </c>
      <c r="J19" s="51" t="n">
        <v>0</v>
      </c>
      <c r="K19" s="51" t="n">
        <v>0</v>
      </c>
      <c r="L19" s="51" t="n">
        <v>0</v>
      </c>
      <c r="M19" s="51" t="n">
        <v>0</v>
      </c>
      <c r="N19" s="51" t="n">
        <v>0</v>
      </c>
      <c r="O19" s="51" t="n">
        <v>0</v>
      </c>
      <c r="P19" s="45" t="n">
        <f aca="false">SUM(D19:O19)</f>
        <v>0</v>
      </c>
      <c r="Q19" s="18" t="n">
        <f aca="false">'BOQ Summary'!G22</f>
        <v>0</v>
      </c>
    </row>
    <row r="20" customFormat="false" ht="15" hidden="false" customHeight="true" outlineLevel="0" collapsed="false">
      <c r="B20" s="21" t="str">
        <f aca="false">'BOQ Summary'!B23</f>
        <v>014</v>
      </c>
      <c r="C20" s="22" t="str">
        <f aca="false">'BOQ Summary'!C23</f>
        <v>FRAMING - CARPENTRY LABOUR, STRUCTURAL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v>0</v>
      </c>
      <c r="O20" s="52" t="n">
        <v>0</v>
      </c>
      <c r="P20" s="45" t="n">
        <f aca="false">SUM(D20:O20)</f>
        <v>0</v>
      </c>
      <c r="Q20" s="18" t="n">
        <f aca="false">'BOQ Summary'!G23</f>
        <v>0</v>
      </c>
    </row>
    <row r="21" customFormat="false" ht="15" hidden="false" customHeight="true" outlineLevel="0" collapsed="false">
      <c r="B21" s="16" t="str">
        <f aca="false">'BOQ Summary'!B24</f>
        <v>015</v>
      </c>
      <c r="C21" s="17" t="str">
        <f aca="false">'BOQ Summary'!C24</f>
        <v>SHEET-METAL &amp; CUSTOM METAL WORK</v>
      </c>
      <c r="D21" s="51" t="n">
        <v>0</v>
      </c>
      <c r="E21" s="51" t="n">
        <v>0</v>
      </c>
      <c r="F21" s="51" t="n">
        <v>0</v>
      </c>
      <c r="G21" s="51" t="n">
        <v>0</v>
      </c>
      <c r="H21" s="51" t="n">
        <v>0</v>
      </c>
      <c r="I21" s="51" t="n">
        <v>0</v>
      </c>
      <c r="J21" s="51" t="n">
        <v>0</v>
      </c>
      <c r="K21" s="51" t="n">
        <v>0</v>
      </c>
      <c r="L21" s="51" t="n">
        <v>0</v>
      </c>
      <c r="M21" s="51" t="n">
        <v>0</v>
      </c>
      <c r="N21" s="51" t="n">
        <v>0</v>
      </c>
      <c r="O21" s="51" t="n">
        <v>0</v>
      </c>
      <c r="P21" s="45" t="n">
        <f aca="false">SUM(D21:O21)</f>
        <v>0</v>
      </c>
      <c r="Q21" s="18" t="n">
        <f aca="false">'BOQ Summary'!G24</f>
        <v>0</v>
      </c>
    </row>
    <row r="22" customFormat="false" ht="15" hidden="false" customHeight="true" outlineLevel="0" collapsed="false">
      <c r="B22" s="21" t="str">
        <f aca="false">'BOQ Summary'!B25</f>
        <v>016</v>
      </c>
      <c r="C22" s="22" t="str">
        <f aca="false">'BOQ Summary'!C25</f>
        <v>WINDOWS &amp; DOORS - INTERNAL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v>0</v>
      </c>
      <c r="O22" s="52" t="n">
        <v>0</v>
      </c>
      <c r="P22" s="45" t="n">
        <f aca="false">SUM(D22:O22)</f>
        <v>0</v>
      </c>
      <c r="Q22" s="18" t="n">
        <f aca="false">'BOQ Summary'!G25</f>
        <v>0</v>
      </c>
    </row>
    <row r="23" customFormat="false" ht="15" hidden="false" customHeight="true" outlineLevel="0" collapsed="false">
      <c r="B23" s="16" t="str">
        <f aca="false">'BOQ Summary'!B26</f>
        <v>017</v>
      </c>
      <c r="C23" s="17" t="str">
        <f aca="false">'BOQ Summary'!C26</f>
        <v>LOCKUP MATERIALS - CLADDING, HARDWARE, FLASHING</v>
      </c>
      <c r="D23" s="51" t="n">
        <v>0</v>
      </c>
      <c r="E23" s="51" t="n">
        <v>0</v>
      </c>
      <c r="F23" s="51" t="n">
        <v>0</v>
      </c>
      <c r="G23" s="51" t="n">
        <v>0</v>
      </c>
      <c r="H23" s="51" t="n">
        <v>0</v>
      </c>
      <c r="I23" s="51" t="n">
        <v>0</v>
      </c>
      <c r="J23" s="51" t="n">
        <v>0</v>
      </c>
      <c r="K23" s="51" t="n">
        <v>0</v>
      </c>
      <c r="L23" s="51" t="n">
        <v>0</v>
      </c>
      <c r="M23" s="51" t="n">
        <v>0</v>
      </c>
      <c r="N23" s="51" t="n">
        <v>0</v>
      </c>
      <c r="O23" s="51" t="n">
        <v>0</v>
      </c>
      <c r="P23" s="45" t="n">
        <f aca="false">SUM(D23:O23)</f>
        <v>0</v>
      </c>
      <c r="Q23" s="18" t="n">
        <f aca="false">'BOQ Summary'!G26</f>
        <v>0</v>
      </c>
    </row>
    <row r="24" customFormat="false" ht="15" hidden="false" customHeight="true" outlineLevel="0" collapsed="false">
      <c r="B24" s="21" t="str">
        <f aca="false">'BOQ Summary'!B27</f>
        <v>018</v>
      </c>
      <c r="C24" s="22" t="str">
        <f aca="false">'BOQ Summary'!C27</f>
        <v>LOCKUP CARPENTRY - CLADDING, INT/EXT WORKS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v>0</v>
      </c>
      <c r="O24" s="52" t="n">
        <v>0</v>
      </c>
      <c r="P24" s="45" t="n">
        <f aca="false">SUM(D24:O24)</f>
        <v>0</v>
      </c>
      <c r="Q24" s="18" t="n">
        <f aca="false">'BOQ Summary'!G27</f>
        <v>0</v>
      </c>
    </row>
    <row r="25" customFormat="false" ht="15" hidden="false" customHeight="true" outlineLevel="0" collapsed="false">
      <c r="B25" s="16" t="str">
        <f aca="false">'BOQ Summary'!B28</f>
        <v>019</v>
      </c>
      <c r="C25" s="17" t="str">
        <f aca="false">'BOQ Summary'!C28</f>
        <v>INSULATION - WALL &amp; CEILING INSULATION &amp; BUILDING WRAP</v>
      </c>
      <c r="D25" s="51" t="n">
        <v>0</v>
      </c>
      <c r="E25" s="51" t="n">
        <v>0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0</v>
      </c>
      <c r="K25" s="51" t="n">
        <v>0</v>
      </c>
      <c r="L25" s="51" t="n">
        <v>0</v>
      </c>
      <c r="M25" s="51" t="n">
        <v>0</v>
      </c>
      <c r="N25" s="51" t="n">
        <v>0</v>
      </c>
      <c r="O25" s="51" t="n">
        <v>0</v>
      </c>
      <c r="P25" s="45" t="n">
        <f aca="false">SUM(D25:O25)</f>
        <v>0</v>
      </c>
      <c r="Q25" s="18" t="n">
        <f aca="false">'BOQ Summary'!G28</f>
        <v>0</v>
      </c>
    </row>
    <row r="26" customFormat="false" ht="15" hidden="false" customHeight="true" outlineLevel="0" collapsed="false">
      <c r="B26" s="21" t="str">
        <f aca="false">'BOQ Summary'!B29</f>
        <v>020</v>
      </c>
      <c r="C26" s="22" t="str">
        <f aca="false">'BOQ Summary'!C29</f>
        <v>ELECTRICAL - LABOUR &amp; MATERIALS (LIGHT FITTINGS SEPARATE)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v>0</v>
      </c>
      <c r="O26" s="52" t="n">
        <v>0</v>
      </c>
      <c r="P26" s="45" t="n">
        <f aca="false">SUM(D26:O26)</f>
        <v>0</v>
      </c>
      <c r="Q26" s="18" t="n">
        <f aca="false">'BOQ Summary'!G29</f>
        <v>0</v>
      </c>
    </row>
    <row r="27" customFormat="false" ht="15" hidden="false" customHeight="true" outlineLevel="0" collapsed="false">
      <c r="B27" s="16" t="str">
        <f aca="false">'BOQ Summary'!B30</f>
        <v>021</v>
      </c>
      <c r="C27" s="17" t="str">
        <f aca="false">'BOQ Summary'!C30</f>
        <v>HYDRAULIC PLUMBING - GENERAL</v>
      </c>
      <c r="D27" s="51" t="n">
        <v>0</v>
      </c>
      <c r="E27" s="51" t="n">
        <v>0</v>
      </c>
      <c r="F27" s="51" t="n">
        <v>0</v>
      </c>
      <c r="G27" s="51" t="n">
        <v>0</v>
      </c>
      <c r="H27" s="51" t="n">
        <v>0</v>
      </c>
      <c r="I27" s="51" t="n">
        <v>0</v>
      </c>
      <c r="J27" s="51" t="n">
        <v>0</v>
      </c>
      <c r="K27" s="51" t="n">
        <v>0</v>
      </c>
      <c r="L27" s="51" t="n">
        <v>0</v>
      </c>
      <c r="M27" s="51" t="n">
        <v>0</v>
      </c>
      <c r="N27" s="51" t="n">
        <v>0</v>
      </c>
      <c r="O27" s="51" t="n">
        <v>0</v>
      </c>
      <c r="P27" s="45" t="n">
        <f aca="false">SUM(D27:O27)</f>
        <v>0</v>
      </c>
      <c r="Q27" s="18" t="n">
        <f aca="false">'BOQ Summary'!G30</f>
        <v>0</v>
      </c>
    </row>
    <row r="28" customFormat="false" ht="15" hidden="false" customHeight="true" outlineLevel="0" collapsed="false">
      <c r="B28" s="21" t="str">
        <f aca="false">'BOQ Summary'!B31</f>
        <v>022</v>
      </c>
      <c r="C28" s="22" t="str">
        <f aca="false">'BOQ Summary'!C31</f>
        <v>HYDRAULIC PLUMBING ITEMS - HWS, SPECIALTY ITEMS</v>
      </c>
      <c r="D28" s="52" t="n">
        <v>0</v>
      </c>
      <c r="E28" s="52" t="n">
        <v>0</v>
      </c>
      <c r="F28" s="52" t="n">
        <v>0</v>
      </c>
      <c r="G28" s="52" t="n">
        <v>0</v>
      </c>
      <c r="H28" s="52" t="n">
        <v>0</v>
      </c>
      <c r="I28" s="52" t="n">
        <v>0</v>
      </c>
      <c r="J28" s="52" t="n">
        <v>0</v>
      </c>
      <c r="K28" s="52" t="n">
        <v>0</v>
      </c>
      <c r="L28" s="52" t="n">
        <v>0</v>
      </c>
      <c r="M28" s="52" t="n">
        <v>0</v>
      </c>
      <c r="N28" s="52" t="n">
        <v>0</v>
      </c>
      <c r="O28" s="52" t="n">
        <v>0</v>
      </c>
      <c r="P28" s="45" t="n">
        <f aca="false">SUM(D28:O28)</f>
        <v>0</v>
      </c>
      <c r="Q28" s="18" t="n">
        <f aca="false">'BOQ Summary'!G31</f>
        <v>0</v>
      </c>
    </row>
    <row r="29" customFormat="false" ht="15" hidden="false" customHeight="true" outlineLevel="0" collapsed="false">
      <c r="B29" s="16" t="str">
        <f aca="false">'BOQ Summary'!B32</f>
        <v>023</v>
      </c>
      <c r="C29" s="17" t="str">
        <f aca="false">'BOQ Summary'!C32</f>
        <v>MECHANICAL PLUMBING AND HVAC</v>
      </c>
      <c r="D29" s="51" t="n">
        <v>0</v>
      </c>
      <c r="E29" s="51" t="n">
        <v>0</v>
      </c>
      <c r="F29" s="51" t="n">
        <v>0</v>
      </c>
      <c r="G29" s="51" t="n">
        <v>0</v>
      </c>
      <c r="H29" s="51" t="n">
        <v>0</v>
      </c>
      <c r="I29" s="51" t="n">
        <v>0</v>
      </c>
      <c r="J29" s="51" t="n">
        <v>0</v>
      </c>
      <c r="K29" s="51" t="n">
        <v>0</v>
      </c>
      <c r="L29" s="51" t="n">
        <v>0</v>
      </c>
      <c r="M29" s="51" t="n">
        <v>0</v>
      </c>
      <c r="N29" s="51" t="n">
        <v>0</v>
      </c>
      <c r="O29" s="51" t="n">
        <v>0</v>
      </c>
      <c r="P29" s="45" t="n">
        <f aca="false">SUM(D29:O29)</f>
        <v>0</v>
      </c>
      <c r="Q29" s="18" t="n">
        <f aca="false">'BOQ Summary'!G32</f>
        <v>0</v>
      </c>
    </row>
    <row r="30" customFormat="false" ht="15" hidden="false" customHeight="true" outlineLevel="0" collapsed="false">
      <c r="B30" s="21" t="str">
        <f aca="false">'BOQ Summary'!B33</f>
        <v>024</v>
      </c>
      <c r="C30" s="22" t="str">
        <f aca="false">'BOQ Summary'!C33</f>
        <v>DECKING - FRAMING &amp; HARDWARE</v>
      </c>
      <c r="D30" s="52" t="n">
        <v>0</v>
      </c>
      <c r="E30" s="52" t="n">
        <v>0</v>
      </c>
      <c r="F30" s="52" t="n">
        <v>0</v>
      </c>
      <c r="G30" s="52" t="n">
        <v>0</v>
      </c>
      <c r="H30" s="52" t="n">
        <v>0</v>
      </c>
      <c r="I30" s="52" t="n">
        <v>0</v>
      </c>
      <c r="J30" s="52" t="n">
        <v>0</v>
      </c>
      <c r="K30" s="52" t="n">
        <v>0</v>
      </c>
      <c r="L30" s="52" t="n">
        <v>0</v>
      </c>
      <c r="M30" s="52" t="n">
        <v>0</v>
      </c>
      <c r="N30" s="52" t="n">
        <v>0</v>
      </c>
      <c r="O30" s="52" t="n">
        <v>0</v>
      </c>
      <c r="P30" s="45" t="n">
        <f aca="false">SUM(D30:O30)</f>
        <v>0</v>
      </c>
      <c r="Q30" s="18" t="n">
        <f aca="false">'BOQ Summary'!G33</f>
        <v>0</v>
      </c>
    </row>
    <row r="31" customFormat="false" ht="15" hidden="false" customHeight="true" outlineLevel="0" collapsed="false">
      <c r="B31" s="16" t="str">
        <f aca="false">'BOQ Summary'!B34</f>
        <v>025</v>
      </c>
      <c r="C31" s="17" t="str">
        <f aca="false">'BOQ Summary'!C34</f>
        <v>DECKING AND SUB-FLOOR FRAMING MATERIALS</v>
      </c>
      <c r="D31" s="51" t="n">
        <v>0</v>
      </c>
      <c r="E31" s="51" t="n">
        <v>0</v>
      </c>
      <c r="F31" s="51" t="n">
        <v>0</v>
      </c>
      <c r="G31" s="51" t="n">
        <v>0</v>
      </c>
      <c r="H31" s="51" t="n">
        <v>0</v>
      </c>
      <c r="I31" s="51" t="n">
        <v>0</v>
      </c>
      <c r="J31" s="51" t="n">
        <v>0</v>
      </c>
      <c r="K31" s="51" t="n">
        <v>0</v>
      </c>
      <c r="L31" s="51" t="n">
        <v>0</v>
      </c>
      <c r="M31" s="51" t="n">
        <v>0</v>
      </c>
      <c r="N31" s="51" t="n">
        <v>0</v>
      </c>
      <c r="O31" s="51" t="n">
        <v>0</v>
      </c>
      <c r="P31" s="45" t="n">
        <f aca="false">SUM(D31:O31)</f>
        <v>0</v>
      </c>
      <c r="Q31" s="18" t="n">
        <f aca="false">'BOQ Summary'!G34</f>
        <v>0</v>
      </c>
    </row>
    <row r="32" customFormat="false" ht="15" hidden="false" customHeight="true" outlineLevel="0" collapsed="false">
      <c r="B32" s="21" t="str">
        <f aca="false">'BOQ Summary'!B35</f>
        <v>026</v>
      </c>
      <c r="C32" s="22" t="str">
        <f aca="false">'BOQ Summary'!C35</f>
        <v>INTERNAL WALL &amp; CEILING LINING - GYROCK, PLYWOOD, OTHER</v>
      </c>
      <c r="D32" s="52" t="n">
        <v>0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52" t="n">
        <v>0</v>
      </c>
      <c r="O32" s="52" t="n">
        <v>0</v>
      </c>
      <c r="P32" s="45" t="n">
        <f aca="false">SUM(D32:O32)</f>
        <v>0</v>
      </c>
      <c r="Q32" s="18" t="n">
        <f aca="false">'BOQ Summary'!G35</f>
        <v>0</v>
      </c>
    </row>
    <row r="33" customFormat="false" ht="15" hidden="false" customHeight="true" outlineLevel="0" collapsed="false">
      <c r="B33" s="16" t="str">
        <f aca="false">'BOQ Summary'!B36</f>
        <v>027</v>
      </c>
      <c r="C33" s="17" t="str">
        <f aca="false">'BOQ Summary'!C36</f>
        <v>JOINERY - KITCHEN, BATHROOM, LAUNDRY</v>
      </c>
      <c r="D33" s="51" t="n">
        <v>0</v>
      </c>
      <c r="E33" s="51" t="n">
        <v>0</v>
      </c>
      <c r="F33" s="51" t="n">
        <v>0</v>
      </c>
      <c r="G33" s="51" t="n">
        <v>0</v>
      </c>
      <c r="H33" s="51" t="n">
        <v>0</v>
      </c>
      <c r="I33" s="51" t="n">
        <v>0</v>
      </c>
      <c r="J33" s="51" t="n">
        <v>0</v>
      </c>
      <c r="K33" s="51" t="n">
        <v>0</v>
      </c>
      <c r="L33" s="51" t="n">
        <v>0</v>
      </c>
      <c r="M33" s="51" t="n">
        <v>0</v>
      </c>
      <c r="N33" s="51" t="n">
        <v>0</v>
      </c>
      <c r="O33" s="51" t="n">
        <v>0</v>
      </c>
      <c r="P33" s="45" t="n">
        <f aca="false">SUM(D33:O33)</f>
        <v>0</v>
      </c>
      <c r="Q33" s="18" t="n">
        <f aca="false">'BOQ Summary'!G36</f>
        <v>0</v>
      </c>
    </row>
    <row r="34" customFormat="false" ht="15" hidden="false" customHeight="true" outlineLevel="0" collapsed="false">
      <c r="B34" s="21" t="str">
        <f aca="false">'BOQ Summary'!B37</f>
        <v>028</v>
      </c>
      <c r="C34" s="22" t="str">
        <f aca="false">'BOQ Summary'!C37</f>
        <v>FINISH CARPENTRY - INTERNAL FINISHING AND DETAIL WORKS</v>
      </c>
      <c r="D34" s="52" t="n">
        <v>0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52" t="n">
        <v>0</v>
      </c>
      <c r="N34" s="52" t="n">
        <v>0</v>
      </c>
      <c r="O34" s="52" t="n">
        <v>0</v>
      </c>
      <c r="P34" s="45" t="n">
        <f aca="false">SUM(D34:O34)</f>
        <v>0</v>
      </c>
      <c r="Q34" s="18" t="n">
        <f aca="false">'BOQ Summary'!G37</f>
        <v>0</v>
      </c>
    </row>
    <row r="35" customFormat="false" ht="15" hidden="false" customHeight="true" outlineLevel="0" collapsed="false">
      <c r="B35" s="16" t="str">
        <f aca="false">'BOQ Summary'!B38</f>
        <v>029</v>
      </c>
      <c r="C35" s="17" t="str">
        <f aca="false">'BOQ Summary'!C38</f>
        <v>WATERPROOFING &amp; SCREED BEDS</v>
      </c>
      <c r="D35" s="51" t="n">
        <v>0</v>
      </c>
      <c r="E35" s="51" t="n">
        <v>0</v>
      </c>
      <c r="F35" s="51" t="n">
        <v>0</v>
      </c>
      <c r="G35" s="51" t="n">
        <v>0</v>
      </c>
      <c r="H35" s="51" t="n">
        <v>0</v>
      </c>
      <c r="I35" s="51" t="n">
        <v>0</v>
      </c>
      <c r="J35" s="51" t="n">
        <v>0</v>
      </c>
      <c r="K35" s="51" t="n">
        <v>0</v>
      </c>
      <c r="L35" s="51" t="n">
        <v>0</v>
      </c>
      <c r="M35" s="51" t="n">
        <v>0</v>
      </c>
      <c r="N35" s="51" t="n">
        <v>0</v>
      </c>
      <c r="O35" s="51" t="n">
        <v>0</v>
      </c>
      <c r="P35" s="45" t="n">
        <f aca="false">SUM(D35:O35)</f>
        <v>0</v>
      </c>
      <c r="Q35" s="18" t="n">
        <f aca="false">'BOQ Summary'!G38</f>
        <v>0</v>
      </c>
    </row>
    <row r="36" customFormat="false" ht="15" hidden="false" customHeight="true" outlineLevel="0" collapsed="false">
      <c r="B36" s="21" t="str">
        <f aca="false">'BOQ Summary'!B39</f>
        <v>030</v>
      </c>
      <c r="C36" s="22" t="str">
        <f aca="false">'BOQ Summary'!C39</f>
        <v>TILE SUPPLY ALLOWANCE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  <c r="O36" s="52" t="n">
        <v>0</v>
      </c>
      <c r="P36" s="45" t="n">
        <f aca="false">SUM(D36:O36)</f>
        <v>0</v>
      </c>
      <c r="Q36" s="18" t="n">
        <f aca="false">'BOQ Summary'!G39</f>
        <v>0</v>
      </c>
    </row>
    <row r="37" customFormat="false" ht="15" hidden="false" customHeight="true" outlineLevel="0" collapsed="false">
      <c r="B37" s="16" t="str">
        <f aca="false">'BOQ Summary'!B40</f>
        <v>031</v>
      </c>
      <c r="C37" s="17" t="str">
        <f aca="false">'BOQ Summary'!C40</f>
        <v>TILING LABOUR</v>
      </c>
      <c r="D37" s="51" t="n">
        <v>0</v>
      </c>
      <c r="E37" s="51" t="n">
        <v>0</v>
      </c>
      <c r="F37" s="51" t="n">
        <v>0</v>
      </c>
      <c r="G37" s="51" t="n">
        <v>0</v>
      </c>
      <c r="H37" s="51" t="n">
        <v>0</v>
      </c>
      <c r="I37" s="51" t="n">
        <v>0</v>
      </c>
      <c r="J37" s="51" t="n">
        <v>0</v>
      </c>
      <c r="K37" s="51" t="n">
        <v>0</v>
      </c>
      <c r="L37" s="51" t="n">
        <v>0</v>
      </c>
      <c r="M37" s="51" t="n">
        <v>0</v>
      </c>
      <c r="N37" s="51" t="n">
        <v>0</v>
      </c>
      <c r="O37" s="51" t="n">
        <v>0</v>
      </c>
      <c r="P37" s="45" t="n">
        <f aca="false">SUM(D37:O37)</f>
        <v>0</v>
      </c>
      <c r="Q37" s="18" t="n">
        <f aca="false">'BOQ Summary'!G40</f>
        <v>0</v>
      </c>
    </row>
    <row r="38" customFormat="false" ht="15" hidden="false" customHeight="true" outlineLevel="0" collapsed="false">
      <c r="B38" s="21" t="str">
        <f aca="false">'BOQ Summary'!B41</f>
        <v>032</v>
      </c>
      <c r="C38" s="22" t="str">
        <f aca="false">'BOQ Summary'!C41</f>
        <v>TIMBER FLOORING - SUPPLY &amp; INSTALLATION</v>
      </c>
      <c r="D38" s="52" t="n">
        <v>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52" t="n">
        <v>0</v>
      </c>
      <c r="K38" s="52" t="n">
        <v>0</v>
      </c>
      <c r="L38" s="52" t="n">
        <v>0</v>
      </c>
      <c r="M38" s="52" t="n">
        <v>0</v>
      </c>
      <c r="N38" s="52" t="n">
        <v>0</v>
      </c>
      <c r="O38" s="52" t="n">
        <v>0</v>
      </c>
      <c r="P38" s="45" t="n">
        <f aca="false">SUM(D38:O38)</f>
        <v>0</v>
      </c>
      <c r="Q38" s="18" t="n">
        <f aca="false">'BOQ Summary'!G41</f>
        <v>0</v>
      </c>
    </row>
    <row r="39" customFormat="false" ht="15" hidden="false" customHeight="true" outlineLevel="0" collapsed="false">
      <c r="B39" s="16" t="str">
        <f aca="false">'BOQ Summary'!B42</f>
        <v>033</v>
      </c>
      <c r="C39" s="17" t="str">
        <f aca="false">'BOQ Summary'!C42</f>
        <v>FLOOR FINISHING - SANDING &amp; POLISHING</v>
      </c>
      <c r="D39" s="51" t="n">
        <v>0</v>
      </c>
      <c r="E39" s="51" t="n">
        <v>0</v>
      </c>
      <c r="F39" s="51" t="n">
        <v>0</v>
      </c>
      <c r="G39" s="51" t="n">
        <v>0</v>
      </c>
      <c r="H39" s="51" t="n">
        <v>0</v>
      </c>
      <c r="I39" s="51" t="n">
        <v>0</v>
      </c>
      <c r="J39" s="51" t="n">
        <v>0</v>
      </c>
      <c r="K39" s="51" t="n">
        <v>0</v>
      </c>
      <c r="L39" s="51" t="n">
        <v>0</v>
      </c>
      <c r="M39" s="51" t="n">
        <v>0</v>
      </c>
      <c r="N39" s="51" t="n">
        <v>0</v>
      </c>
      <c r="O39" s="51" t="n">
        <v>0</v>
      </c>
      <c r="P39" s="45" t="n">
        <f aca="false">SUM(D39:O39)</f>
        <v>0</v>
      </c>
      <c r="Q39" s="18" t="n">
        <f aca="false">'BOQ Summary'!G42</f>
        <v>0</v>
      </c>
    </row>
    <row r="40" customFormat="false" ht="15" hidden="false" customHeight="true" outlineLevel="0" collapsed="false">
      <c r="B40" s="21" t="str">
        <f aca="false">'BOQ Summary'!B43</f>
        <v>034</v>
      </c>
      <c r="C40" s="22" t="str">
        <f aca="false">'BOQ Summary'!C43</f>
        <v>PAINTING - INTERNAL &amp; EXTERNAL</v>
      </c>
      <c r="D40" s="52" t="n">
        <v>0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52" t="n">
        <v>0</v>
      </c>
      <c r="K40" s="52" t="n">
        <v>0</v>
      </c>
      <c r="L40" s="52" t="n">
        <v>0</v>
      </c>
      <c r="M40" s="52" t="n">
        <v>0</v>
      </c>
      <c r="N40" s="52" t="n">
        <v>0</v>
      </c>
      <c r="O40" s="52" t="n">
        <v>0</v>
      </c>
      <c r="P40" s="45" t="n">
        <f aca="false">SUM(D40:O40)</f>
        <v>0</v>
      </c>
      <c r="Q40" s="18" t="n">
        <f aca="false">'BOQ Summary'!G43</f>
        <v>0</v>
      </c>
    </row>
    <row r="41" customFormat="false" ht="15" hidden="false" customHeight="true" outlineLevel="0" collapsed="false">
      <c r="B41" s="16" t="str">
        <f aca="false">'BOQ Summary'!B44</f>
        <v>035</v>
      </c>
      <c r="C41" s="17" t="str">
        <f aca="false">'BOQ Summary'!C44</f>
        <v>RENDER AND MICRO-CEMENT - INTERNAL &amp; EXTERNAL</v>
      </c>
      <c r="D41" s="51" t="n">
        <v>0</v>
      </c>
      <c r="E41" s="51" t="n">
        <v>0</v>
      </c>
      <c r="F41" s="51" t="n">
        <v>0</v>
      </c>
      <c r="G41" s="51" t="n">
        <v>0</v>
      </c>
      <c r="H41" s="51" t="n">
        <v>0</v>
      </c>
      <c r="I41" s="51" t="n">
        <v>0</v>
      </c>
      <c r="J41" s="51" t="n">
        <v>0</v>
      </c>
      <c r="K41" s="51" t="n">
        <v>0</v>
      </c>
      <c r="L41" s="51" t="n">
        <v>0</v>
      </c>
      <c r="M41" s="51" t="n">
        <v>0</v>
      </c>
      <c r="N41" s="51" t="n">
        <v>0</v>
      </c>
      <c r="O41" s="51" t="n">
        <v>0</v>
      </c>
      <c r="P41" s="45" t="n">
        <f aca="false">SUM(D41:O41)</f>
        <v>0</v>
      </c>
      <c r="Q41" s="18" t="n">
        <f aca="false">'BOQ Summary'!G44</f>
        <v>0</v>
      </c>
    </row>
    <row r="42" customFormat="false" ht="15" hidden="false" customHeight="true" outlineLevel="0" collapsed="false">
      <c r="B42" s="21" t="str">
        <f aca="false">'BOQ Summary'!B45</f>
        <v>036</v>
      </c>
      <c r="C42" s="22" t="str">
        <f aca="false">'BOQ Summary'!C45</f>
        <v>PLUMBING - INTERNAL FIXTURES</v>
      </c>
      <c r="D42" s="52" t="n">
        <v>0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52" t="n">
        <v>0</v>
      </c>
      <c r="K42" s="52" t="n">
        <v>0</v>
      </c>
      <c r="L42" s="52" t="n">
        <v>0</v>
      </c>
      <c r="M42" s="52" t="n">
        <v>0</v>
      </c>
      <c r="N42" s="52" t="n">
        <v>0</v>
      </c>
      <c r="O42" s="52" t="n">
        <v>0</v>
      </c>
      <c r="P42" s="45" t="n">
        <f aca="false">SUM(D42:O42)</f>
        <v>0</v>
      </c>
      <c r="Q42" s="18" t="n">
        <f aca="false">'BOQ Summary'!G45</f>
        <v>0</v>
      </c>
    </row>
    <row r="43" customFormat="false" ht="15" hidden="false" customHeight="true" outlineLevel="0" collapsed="false">
      <c r="B43" s="16" t="str">
        <f aca="false">'BOQ Summary'!B46</f>
        <v>037</v>
      </c>
      <c r="C43" s="17" t="str">
        <f aca="false">'BOQ Summary'!C46</f>
        <v>ELECTRICAL - LIGHT FITTINGS</v>
      </c>
      <c r="D43" s="51" t="n">
        <v>0</v>
      </c>
      <c r="E43" s="51" t="n">
        <v>0</v>
      </c>
      <c r="F43" s="51" t="n">
        <v>0</v>
      </c>
      <c r="G43" s="51" t="n">
        <v>0</v>
      </c>
      <c r="H43" s="51" t="n">
        <v>0</v>
      </c>
      <c r="I43" s="51" t="n">
        <v>0</v>
      </c>
      <c r="J43" s="51" t="n">
        <v>0</v>
      </c>
      <c r="K43" s="51" t="n">
        <v>0</v>
      </c>
      <c r="L43" s="51" t="n">
        <v>0</v>
      </c>
      <c r="M43" s="51" t="n">
        <v>0</v>
      </c>
      <c r="N43" s="51" t="n">
        <v>0</v>
      </c>
      <c r="O43" s="51" t="n">
        <v>0</v>
      </c>
      <c r="P43" s="45" t="n">
        <f aca="false">SUM(D43:O43)</f>
        <v>0</v>
      </c>
      <c r="Q43" s="18" t="n">
        <f aca="false">'BOQ Summary'!G46</f>
        <v>0</v>
      </c>
    </row>
    <row r="44" customFormat="false" ht="15" hidden="false" customHeight="true" outlineLevel="0" collapsed="false">
      <c r="B44" s="21" t="str">
        <f aca="false">'BOQ Summary'!B47</f>
        <v>038</v>
      </c>
      <c r="C44" s="22" t="str">
        <f aca="false">'BOQ Summary'!C47</f>
        <v>LANDSCAPING &amp; CIVIL - HARDSCAPING, RETAINING WALLS, DRIVEWAYS</v>
      </c>
      <c r="D44" s="52" t="n">
        <v>0</v>
      </c>
      <c r="E44" s="52" t="n">
        <v>0</v>
      </c>
      <c r="F44" s="52" t="n">
        <v>0</v>
      </c>
      <c r="G44" s="52" t="n">
        <v>0</v>
      </c>
      <c r="H44" s="52" t="n">
        <v>0</v>
      </c>
      <c r="I44" s="52" t="n">
        <v>0</v>
      </c>
      <c r="J44" s="52" t="n">
        <v>0</v>
      </c>
      <c r="K44" s="52" t="n">
        <v>0</v>
      </c>
      <c r="L44" s="52" t="n">
        <v>0</v>
      </c>
      <c r="M44" s="52" t="n">
        <v>0</v>
      </c>
      <c r="N44" s="52" t="n">
        <v>0</v>
      </c>
      <c r="O44" s="52" t="n">
        <v>0</v>
      </c>
      <c r="P44" s="45" t="n">
        <f aca="false">SUM(D44:O44)</f>
        <v>0</v>
      </c>
      <c r="Q44" s="18" t="n">
        <f aca="false">'BOQ Summary'!G47</f>
        <v>0</v>
      </c>
    </row>
    <row r="45" customFormat="false" ht="15" hidden="false" customHeight="true" outlineLevel="0" collapsed="false">
      <c r="B45" s="16" t="str">
        <f aca="false">'BOQ Summary'!B48</f>
        <v>039</v>
      </c>
      <c r="C45" s="17" t="str">
        <f aca="false">'BOQ Summary'!C48</f>
        <v>LANDSCAPING - SOFTSCAPING, PLANTS, MULCH, TURF</v>
      </c>
      <c r="D45" s="51" t="n">
        <v>0</v>
      </c>
      <c r="E45" s="51" t="n">
        <v>0</v>
      </c>
      <c r="F45" s="51" t="n">
        <v>0</v>
      </c>
      <c r="G45" s="51" t="n">
        <v>0</v>
      </c>
      <c r="H45" s="51" t="n">
        <v>0</v>
      </c>
      <c r="I45" s="51" t="n">
        <v>0</v>
      </c>
      <c r="J45" s="51" t="n">
        <v>0</v>
      </c>
      <c r="K45" s="51" t="n">
        <v>0</v>
      </c>
      <c r="L45" s="51" t="n">
        <v>0</v>
      </c>
      <c r="M45" s="51" t="n">
        <v>0</v>
      </c>
      <c r="N45" s="51" t="n">
        <v>0</v>
      </c>
      <c r="O45" s="51" t="n">
        <v>0</v>
      </c>
      <c r="P45" s="45" t="n">
        <f aca="false">SUM(D45:O45)</f>
        <v>0</v>
      </c>
      <c r="Q45" s="18" t="n">
        <f aca="false">'BOQ Summary'!G48</f>
        <v>0</v>
      </c>
    </row>
    <row r="46" customFormat="false" ht="15" hidden="false" customHeight="true" outlineLevel="0" collapsed="false">
      <c r="B46" s="21" t="str">
        <f aca="false">'BOQ Summary'!B49</f>
        <v>040</v>
      </c>
      <c r="C46" s="22" t="str">
        <f aca="false">'BOQ Summary'!C49</f>
        <v>PLUMBING - WATER TANKS, PUMPS, SEPTIC REQUIREMENTS</v>
      </c>
      <c r="D46" s="52" t="n">
        <v>0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52" t="n">
        <v>0</v>
      </c>
      <c r="K46" s="52" t="n">
        <v>0</v>
      </c>
      <c r="L46" s="52" t="n">
        <v>0</v>
      </c>
      <c r="M46" s="52" t="n">
        <v>0</v>
      </c>
      <c r="N46" s="52" t="n">
        <v>0</v>
      </c>
      <c r="O46" s="52" t="n">
        <v>0</v>
      </c>
      <c r="P46" s="45" t="n">
        <f aca="false">SUM(D46:O46)</f>
        <v>0</v>
      </c>
      <c r="Q46" s="18" t="n">
        <f aca="false">'BOQ Summary'!G49</f>
        <v>0</v>
      </c>
    </row>
    <row r="47" customFormat="false" ht="15" hidden="false" customHeight="true" outlineLevel="0" collapsed="false">
      <c r="B47" s="16" t="str">
        <f aca="false">'BOQ Summary'!B50</f>
        <v>041</v>
      </c>
      <c r="C47" s="17" t="str">
        <f aca="false">'BOQ Summary'!C50</f>
        <v>APPLIANCES - OVENS, FRIDGES, ETC.</v>
      </c>
      <c r="D47" s="51" t="n">
        <v>0</v>
      </c>
      <c r="E47" s="51" t="n">
        <v>0</v>
      </c>
      <c r="F47" s="51" t="n">
        <v>0</v>
      </c>
      <c r="G47" s="51" t="n">
        <v>0</v>
      </c>
      <c r="H47" s="51" t="n">
        <v>0</v>
      </c>
      <c r="I47" s="51" t="n">
        <v>0</v>
      </c>
      <c r="J47" s="51" t="n">
        <v>0</v>
      </c>
      <c r="K47" s="51" t="n">
        <v>0</v>
      </c>
      <c r="L47" s="51" t="n">
        <v>0</v>
      </c>
      <c r="M47" s="51" t="n">
        <v>0</v>
      </c>
      <c r="N47" s="51" t="n">
        <v>0</v>
      </c>
      <c r="O47" s="51" t="n">
        <v>0</v>
      </c>
      <c r="P47" s="45" t="n">
        <f aca="false">SUM(D47:O47)</f>
        <v>0</v>
      </c>
      <c r="Q47" s="18" t="n">
        <f aca="false">'BOQ Summary'!G50</f>
        <v>0</v>
      </c>
    </row>
    <row r="48" customFormat="false" ht="15" hidden="false" customHeight="true" outlineLevel="0" collapsed="false">
      <c r="B48" s="21" t="str">
        <f aca="false">'BOQ Summary'!B51</f>
        <v>042</v>
      </c>
      <c r="C48" s="22" t="str">
        <f aca="false">'BOQ Summary'!C51</f>
        <v>PROVISIONAL SUMS</v>
      </c>
      <c r="D48" s="52" t="n">
        <v>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52" t="n">
        <v>0</v>
      </c>
      <c r="K48" s="52" t="n">
        <v>0</v>
      </c>
      <c r="L48" s="52" t="n">
        <v>0</v>
      </c>
      <c r="M48" s="52" t="n">
        <v>0</v>
      </c>
      <c r="N48" s="52" t="n">
        <v>0</v>
      </c>
      <c r="O48" s="52" t="n">
        <v>0</v>
      </c>
      <c r="P48" s="45" t="n">
        <f aca="false">SUM(D48:O48)</f>
        <v>0</v>
      </c>
      <c r="Q48" s="18" t="n">
        <f aca="false">'BOQ Summary'!G51</f>
        <v>0</v>
      </c>
    </row>
    <row r="49" customFormat="false" ht="15" hidden="false" customHeight="true" outlineLevel="0" collapsed="false">
      <c r="B49" s="16" t="str">
        <f aca="false">'BOQ Summary'!B52</f>
        <v>043</v>
      </c>
      <c r="C49" s="17" t="str">
        <f aca="false">'BOQ Summary'!C52</f>
        <v>PRIME COST ALLOWANCE</v>
      </c>
      <c r="D49" s="51" t="n">
        <v>0</v>
      </c>
      <c r="E49" s="51" t="n">
        <v>0</v>
      </c>
      <c r="F49" s="51" t="n">
        <v>0</v>
      </c>
      <c r="G49" s="51" t="n">
        <v>0</v>
      </c>
      <c r="H49" s="51" t="n">
        <v>0</v>
      </c>
      <c r="I49" s="51" t="n">
        <v>0</v>
      </c>
      <c r="J49" s="51" t="n">
        <v>0</v>
      </c>
      <c r="K49" s="51" t="n">
        <v>0</v>
      </c>
      <c r="L49" s="51" t="n">
        <v>0</v>
      </c>
      <c r="M49" s="51" t="n">
        <v>0</v>
      </c>
      <c r="N49" s="51" t="n">
        <v>0</v>
      </c>
      <c r="O49" s="51" t="n">
        <v>0</v>
      </c>
      <c r="P49" s="45" t="n">
        <f aca="false">SUM(D49:O49)</f>
        <v>0</v>
      </c>
      <c r="Q49" s="18" t="n">
        <f aca="false">'BOQ Summary'!G52</f>
        <v>0</v>
      </c>
    </row>
    <row r="50" customFormat="false" ht="15" hidden="false" customHeight="true" outlineLevel="0" collapsed="false">
      <c r="B50" s="21" t="str">
        <f aca="false">'BOQ Summary'!B53</f>
        <v>044</v>
      </c>
      <c r="C50" s="22" t="str">
        <f aca="false">'BOQ Summary'!C53</f>
        <v>PROJECT OVERHEAD COSTS</v>
      </c>
      <c r="D50" s="52" t="n">
        <v>0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0</v>
      </c>
      <c r="J50" s="52" t="n">
        <v>0</v>
      </c>
      <c r="K50" s="52" t="n">
        <v>0</v>
      </c>
      <c r="L50" s="52" t="n">
        <v>0</v>
      </c>
      <c r="M50" s="52" t="n">
        <v>0</v>
      </c>
      <c r="N50" s="52" t="n">
        <v>0</v>
      </c>
      <c r="O50" s="52" t="n">
        <v>0</v>
      </c>
      <c r="P50" s="45" t="n">
        <f aca="false">SUM(D50:O50)</f>
        <v>0</v>
      </c>
      <c r="Q50" s="18" t="n">
        <f aca="false">'BOQ Summary'!G53</f>
        <v>0</v>
      </c>
    </row>
    <row r="51" customFormat="false" ht="19.5" hidden="false" customHeight="true" outlineLevel="0" collapsed="false">
      <c r="B51" s="38" t="s">
        <v>595</v>
      </c>
      <c r="C51" s="2"/>
      <c r="D51" s="39" t="n">
        <f aca="false">SUM(D7:D50)</f>
        <v>0</v>
      </c>
      <c r="E51" s="39" t="n">
        <f aca="false">SUM(E7:E50)</f>
        <v>0</v>
      </c>
      <c r="F51" s="39" t="n">
        <f aca="false">SUM(F7:F50)</f>
        <v>0</v>
      </c>
      <c r="G51" s="39" t="n">
        <f aca="false">SUM(G7:G50)</f>
        <v>0</v>
      </c>
      <c r="H51" s="39" t="n">
        <f aca="false">SUM(H7:H50)</f>
        <v>0</v>
      </c>
      <c r="I51" s="39" t="n">
        <f aca="false">SUM(I7:I50)</f>
        <v>0</v>
      </c>
      <c r="J51" s="39" t="n">
        <f aca="false">SUM(J7:J50)</f>
        <v>0</v>
      </c>
      <c r="K51" s="39" t="n">
        <f aca="false">SUM(K7:K50)</f>
        <v>0</v>
      </c>
      <c r="L51" s="39" t="n">
        <f aca="false">SUM(L7:L50)</f>
        <v>0</v>
      </c>
      <c r="M51" s="39" t="n">
        <f aca="false">SUM(M7:M50)</f>
        <v>0</v>
      </c>
      <c r="N51" s="39" t="n">
        <f aca="false">SUM(N7:N50)</f>
        <v>0</v>
      </c>
      <c r="O51" s="39" t="n">
        <f aca="false">SUM(O7:O50)</f>
        <v>0</v>
      </c>
      <c r="P51" s="53" t="n">
        <f aca="false">SUM(P7:P50)</f>
        <v>0</v>
      </c>
      <c r="Q51" s="53" t="n">
        <f aca="false">SUM(Q7:Q50)</f>
        <v>0</v>
      </c>
    </row>
    <row r="52" customFormat="false" ht="18" hidden="false" customHeight="true" outlineLevel="0" collapsed="false">
      <c r="B52" s="54" t="s">
        <v>596</v>
      </c>
      <c r="C52" s="31"/>
      <c r="D52" s="45" t="n">
        <f aca="false">D51</f>
        <v>0</v>
      </c>
      <c r="E52" s="45" t="n">
        <f aca="false">D52+E51</f>
        <v>0</v>
      </c>
      <c r="F52" s="45" t="n">
        <f aca="false">E52+F51</f>
        <v>0</v>
      </c>
      <c r="G52" s="45" t="n">
        <f aca="false">F52+G51</f>
        <v>0</v>
      </c>
      <c r="H52" s="45" t="n">
        <f aca="false">G52+H51</f>
        <v>0</v>
      </c>
      <c r="I52" s="45" t="n">
        <f aca="false">H52+I51</f>
        <v>0</v>
      </c>
      <c r="J52" s="45" t="n">
        <f aca="false">I52+J51</f>
        <v>0</v>
      </c>
      <c r="K52" s="45" t="n">
        <f aca="false">J52+K51</f>
        <v>0</v>
      </c>
      <c r="L52" s="45" t="n">
        <f aca="false">K52+L51</f>
        <v>0</v>
      </c>
      <c r="M52" s="45" t="n">
        <f aca="false">L52+M51</f>
        <v>0</v>
      </c>
      <c r="N52" s="45" t="n">
        <f aca="false">M52+N51</f>
        <v>0</v>
      </c>
      <c r="O52" s="45" t="n">
        <f aca="false">N52+O51</f>
        <v>0</v>
      </c>
      <c r="P52" s="10"/>
      <c r="Q5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true"/>
  </sheetPr>
  <dimension ref="A2:S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8" min="7" style="0" width="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28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30"/>
    <col collapsed="false" customWidth="true" hidden="false" outlineLevel="0" max="19" min="19" style="0" width="3"/>
  </cols>
  <sheetData>
    <row r="2" customFormat="false" ht="39.75" hidden="false" customHeight="true" outlineLevel="0" collapsed="false">
      <c r="B2" s="1" t="s">
        <v>597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4.5" hidden="false" customHeight="true" outlineLevel="0" collapsed="false"/>
    <row r="4" customFormat="false" ht="13.5" hidden="false" customHeight="true" outlineLevel="0" collapsed="false">
      <c r="A4" s="5"/>
      <c r="B4" s="55" t="s">
        <v>598</v>
      </c>
      <c r="C4" s="55"/>
      <c r="D4" s="55"/>
      <c r="E4" s="55"/>
      <c r="F4" s="55"/>
      <c r="G4" s="56" t="s">
        <v>599</v>
      </c>
      <c r="H4" s="56"/>
      <c r="I4" s="56"/>
      <c r="J4" s="57" t="s">
        <v>600</v>
      </c>
      <c r="K4" s="57"/>
      <c r="L4" s="57" t="s">
        <v>601</v>
      </c>
      <c r="M4" s="57"/>
      <c r="N4" s="57"/>
      <c r="O4" s="57" t="s">
        <v>602</v>
      </c>
      <c r="P4" s="57"/>
      <c r="Q4" s="57"/>
      <c r="R4" s="57"/>
      <c r="S4" s="2"/>
    </row>
    <row r="5" customFormat="false" ht="36" hidden="false" customHeight="true" outlineLevel="0" collapsed="false">
      <c r="A5" s="2"/>
      <c r="B5" s="15" t="s">
        <v>603</v>
      </c>
      <c r="C5" s="58" t="s">
        <v>604</v>
      </c>
      <c r="D5" s="15" t="s">
        <v>605</v>
      </c>
      <c r="E5" s="59" t="s">
        <v>606</v>
      </c>
      <c r="F5" s="15" t="s">
        <v>607</v>
      </c>
      <c r="G5" s="60" t="s">
        <v>608</v>
      </c>
      <c r="H5" s="50" t="s">
        <v>609</v>
      </c>
      <c r="I5" s="60" t="s">
        <v>610</v>
      </c>
      <c r="J5" s="61" t="s">
        <v>611</v>
      </c>
      <c r="K5" s="62" t="s">
        <v>612</v>
      </c>
      <c r="L5" s="61" t="s">
        <v>613</v>
      </c>
      <c r="M5" s="61" t="s">
        <v>614</v>
      </c>
      <c r="N5" s="61" t="s">
        <v>615</v>
      </c>
      <c r="O5" s="61" t="s">
        <v>616</v>
      </c>
      <c r="P5" s="61" t="s">
        <v>617</v>
      </c>
      <c r="Q5" s="61" t="s">
        <v>618</v>
      </c>
      <c r="R5" s="61" t="s">
        <v>619</v>
      </c>
      <c r="S5" s="2"/>
    </row>
    <row r="6" customFormat="false" ht="27.75" hidden="false" customHeight="true" outlineLevel="0" collapsed="false">
      <c r="A6" s="13"/>
      <c r="B6" s="63"/>
      <c r="C6" s="64" t="str">
        <f aca="false">IF(B6="","",TEXT(B6,"DDD"))</f>
        <v/>
      </c>
      <c r="D6" s="32"/>
      <c r="E6" s="32"/>
      <c r="F6" s="33"/>
      <c r="G6" s="65"/>
      <c r="H6" s="32"/>
      <c r="I6" s="66" t="n">
        <v>0</v>
      </c>
      <c r="J6" s="67"/>
      <c r="K6" s="68"/>
      <c r="L6" s="68"/>
      <c r="M6" s="68"/>
      <c r="N6" s="68"/>
      <c r="O6" s="68"/>
      <c r="P6" s="33"/>
      <c r="Q6" s="68"/>
      <c r="R6" s="68"/>
      <c r="S6" s="13"/>
    </row>
    <row r="7" customFormat="false" ht="27.75" hidden="false" customHeight="true" outlineLevel="0" collapsed="false">
      <c r="A7" s="5"/>
      <c r="B7" s="69"/>
      <c r="C7" s="64" t="str">
        <f aca="false">IF(B7="","",TEXT(B7,"DDD"))</f>
        <v/>
      </c>
      <c r="D7" s="36"/>
      <c r="E7" s="36"/>
      <c r="F7" s="4"/>
      <c r="G7" s="70"/>
      <c r="H7" s="36"/>
      <c r="I7" s="66" t="n">
        <v>0</v>
      </c>
      <c r="J7" s="71"/>
      <c r="K7" s="72"/>
      <c r="L7" s="72"/>
      <c r="M7" s="72"/>
      <c r="N7" s="72"/>
      <c r="O7" s="72"/>
      <c r="P7" s="4"/>
      <c r="Q7" s="72"/>
      <c r="R7" s="72"/>
      <c r="S7" s="5"/>
    </row>
    <row r="8" customFormat="false" ht="27.75" hidden="false" customHeight="true" outlineLevel="0" collapsed="false">
      <c r="A8" s="13"/>
      <c r="B8" s="63"/>
      <c r="C8" s="64" t="str">
        <f aca="false">IF(B8="","",TEXT(B8,"DDD"))</f>
        <v/>
      </c>
      <c r="D8" s="32"/>
      <c r="E8" s="32"/>
      <c r="F8" s="33"/>
      <c r="G8" s="65"/>
      <c r="H8" s="32"/>
      <c r="I8" s="66" t="n">
        <v>0</v>
      </c>
      <c r="J8" s="67"/>
      <c r="K8" s="68"/>
      <c r="L8" s="68"/>
      <c r="M8" s="68"/>
      <c r="N8" s="68"/>
      <c r="O8" s="68"/>
      <c r="P8" s="33"/>
      <c r="Q8" s="68"/>
      <c r="R8" s="68"/>
      <c r="S8" s="13"/>
    </row>
    <row r="9" customFormat="false" ht="27.75" hidden="false" customHeight="true" outlineLevel="0" collapsed="false">
      <c r="A9" s="5"/>
      <c r="B9" s="69"/>
      <c r="C9" s="64" t="str">
        <f aca="false">IF(B9="","",TEXT(B9,"DDD"))</f>
        <v/>
      </c>
      <c r="D9" s="36"/>
      <c r="E9" s="36"/>
      <c r="F9" s="4"/>
      <c r="G9" s="70"/>
      <c r="H9" s="36"/>
      <c r="I9" s="66" t="n">
        <v>0</v>
      </c>
      <c r="J9" s="71"/>
      <c r="K9" s="72"/>
      <c r="L9" s="72"/>
      <c r="M9" s="72"/>
      <c r="N9" s="72"/>
      <c r="O9" s="72"/>
      <c r="P9" s="4"/>
      <c r="Q9" s="72"/>
      <c r="R9" s="72"/>
      <c r="S9" s="5"/>
    </row>
    <row r="10" customFormat="false" ht="27.75" hidden="false" customHeight="true" outlineLevel="0" collapsed="false">
      <c r="A10" s="13"/>
      <c r="B10" s="63"/>
      <c r="C10" s="64" t="str">
        <f aca="false">IF(B10="","",TEXT(B10,"DDD"))</f>
        <v/>
      </c>
      <c r="D10" s="32"/>
      <c r="E10" s="32"/>
      <c r="F10" s="33"/>
      <c r="G10" s="65"/>
      <c r="H10" s="32"/>
      <c r="I10" s="66" t="n">
        <v>0</v>
      </c>
      <c r="J10" s="67"/>
      <c r="K10" s="68"/>
      <c r="L10" s="68"/>
      <c r="M10" s="68"/>
      <c r="N10" s="68"/>
      <c r="O10" s="68"/>
      <c r="P10" s="33"/>
      <c r="Q10" s="68"/>
      <c r="R10" s="68"/>
      <c r="S10" s="13"/>
    </row>
    <row r="11" customFormat="false" ht="27.75" hidden="false" customHeight="true" outlineLevel="0" collapsed="false">
      <c r="A11" s="5"/>
      <c r="B11" s="69"/>
      <c r="C11" s="64" t="str">
        <f aca="false">IF(B11="","",TEXT(B11,"DDD"))</f>
        <v/>
      </c>
      <c r="D11" s="36"/>
      <c r="E11" s="36"/>
      <c r="F11" s="4"/>
      <c r="G11" s="70"/>
      <c r="H11" s="36"/>
      <c r="I11" s="66" t="n">
        <v>0</v>
      </c>
      <c r="J11" s="71"/>
      <c r="K11" s="72"/>
      <c r="L11" s="72"/>
      <c r="M11" s="72"/>
      <c r="N11" s="72"/>
      <c r="O11" s="72"/>
      <c r="P11" s="4"/>
      <c r="Q11" s="72"/>
      <c r="R11" s="72"/>
      <c r="S11" s="5"/>
    </row>
    <row r="12" customFormat="false" ht="27.75" hidden="false" customHeight="true" outlineLevel="0" collapsed="false">
      <c r="A12" s="13"/>
      <c r="B12" s="63"/>
      <c r="C12" s="64" t="str">
        <f aca="false">IF(B12="","",TEXT(B12,"DDD"))</f>
        <v/>
      </c>
      <c r="D12" s="32"/>
      <c r="E12" s="32"/>
      <c r="F12" s="33"/>
      <c r="G12" s="65"/>
      <c r="H12" s="32"/>
      <c r="I12" s="66" t="n">
        <v>0</v>
      </c>
      <c r="J12" s="67"/>
      <c r="K12" s="68"/>
      <c r="L12" s="68"/>
      <c r="M12" s="68"/>
      <c r="N12" s="68"/>
      <c r="O12" s="68"/>
      <c r="P12" s="33"/>
      <c r="Q12" s="68"/>
      <c r="R12" s="68"/>
      <c r="S12" s="13"/>
    </row>
    <row r="13" customFormat="false" ht="27.75" hidden="false" customHeight="true" outlineLevel="0" collapsed="false">
      <c r="A13" s="5"/>
      <c r="B13" s="69"/>
      <c r="C13" s="64" t="str">
        <f aca="false">IF(B13="","",TEXT(B13,"DDD"))</f>
        <v/>
      </c>
      <c r="D13" s="36"/>
      <c r="E13" s="36"/>
      <c r="F13" s="4"/>
      <c r="G13" s="70"/>
      <c r="H13" s="36"/>
      <c r="I13" s="66" t="n">
        <v>0</v>
      </c>
      <c r="J13" s="71"/>
      <c r="K13" s="72"/>
      <c r="L13" s="72"/>
      <c r="M13" s="72"/>
      <c r="N13" s="72"/>
      <c r="O13" s="72"/>
      <c r="P13" s="4"/>
      <c r="Q13" s="72"/>
      <c r="R13" s="72"/>
      <c r="S13" s="5"/>
    </row>
    <row r="14" customFormat="false" ht="27.75" hidden="false" customHeight="true" outlineLevel="0" collapsed="false">
      <c r="A14" s="13"/>
      <c r="B14" s="63"/>
      <c r="C14" s="64" t="str">
        <f aca="false">IF(B14="","",TEXT(B14,"DDD"))</f>
        <v/>
      </c>
      <c r="D14" s="32"/>
      <c r="E14" s="32"/>
      <c r="F14" s="33"/>
      <c r="G14" s="65"/>
      <c r="H14" s="32"/>
      <c r="I14" s="66" t="n">
        <v>0</v>
      </c>
      <c r="J14" s="67"/>
      <c r="K14" s="68"/>
      <c r="L14" s="68"/>
      <c r="M14" s="68"/>
      <c r="N14" s="68"/>
      <c r="O14" s="68"/>
      <c r="P14" s="33"/>
      <c r="Q14" s="68"/>
      <c r="R14" s="68"/>
      <c r="S14" s="13"/>
    </row>
    <row r="15" customFormat="false" ht="27.75" hidden="false" customHeight="true" outlineLevel="0" collapsed="false">
      <c r="A15" s="5"/>
      <c r="B15" s="69"/>
      <c r="C15" s="64" t="str">
        <f aca="false">IF(B15="","",TEXT(B15,"DDD"))</f>
        <v/>
      </c>
      <c r="D15" s="36"/>
      <c r="E15" s="36"/>
      <c r="F15" s="4"/>
      <c r="G15" s="70"/>
      <c r="H15" s="36"/>
      <c r="I15" s="66" t="n">
        <v>0</v>
      </c>
      <c r="J15" s="71"/>
      <c r="K15" s="72"/>
      <c r="L15" s="72"/>
      <c r="M15" s="72"/>
      <c r="N15" s="72"/>
      <c r="O15" s="72"/>
      <c r="P15" s="4"/>
      <c r="Q15" s="72"/>
      <c r="R15" s="72"/>
      <c r="S15" s="5"/>
    </row>
    <row r="16" customFormat="false" ht="27.75" hidden="false" customHeight="true" outlineLevel="0" collapsed="false">
      <c r="A16" s="13"/>
      <c r="B16" s="63"/>
      <c r="C16" s="64" t="str">
        <f aca="false">IF(B16="","",TEXT(B16,"DDD"))</f>
        <v/>
      </c>
      <c r="D16" s="32"/>
      <c r="E16" s="32"/>
      <c r="F16" s="33"/>
      <c r="G16" s="65"/>
      <c r="H16" s="32"/>
      <c r="I16" s="66" t="n">
        <v>0</v>
      </c>
      <c r="J16" s="67"/>
      <c r="K16" s="68"/>
      <c r="L16" s="68"/>
      <c r="M16" s="68"/>
      <c r="N16" s="68"/>
      <c r="O16" s="68"/>
      <c r="P16" s="33"/>
      <c r="Q16" s="68"/>
      <c r="R16" s="68"/>
      <c r="S16" s="13"/>
    </row>
    <row r="17" customFormat="false" ht="27.75" hidden="false" customHeight="true" outlineLevel="0" collapsed="false">
      <c r="A17" s="5"/>
      <c r="B17" s="69"/>
      <c r="C17" s="64" t="str">
        <f aca="false">IF(B17="","",TEXT(B17,"DDD"))</f>
        <v/>
      </c>
      <c r="D17" s="36"/>
      <c r="E17" s="36"/>
      <c r="F17" s="4"/>
      <c r="G17" s="70"/>
      <c r="H17" s="36"/>
      <c r="I17" s="66" t="n">
        <v>0</v>
      </c>
      <c r="J17" s="71"/>
      <c r="K17" s="72"/>
      <c r="L17" s="72"/>
      <c r="M17" s="72"/>
      <c r="N17" s="72"/>
      <c r="O17" s="72"/>
      <c r="P17" s="4"/>
      <c r="Q17" s="72"/>
      <c r="R17" s="72"/>
      <c r="S17" s="5"/>
    </row>
    <row r="18" customFormat="false" ht="27.75" hidden="false" customHeight="true" outlineLevel="0" collapsed="false">
      <c r="A18" s="13"/>
      <c r="B18" s="63"/>
      <c r="C18" s="64" t="str">
        <f aca="false">IF(B18="","",TEXT(B18,"DDD"))</f>
        <v/>
      </c>
      <c r="D18" s="32"/>
      <c r="E18" s="32"/>
      <c r="F18" s="33"/>
      <c r="G18" s="65"/>
      <c r="H18" s="32"/>
      <c r="I18" s="66" t="n">
        <v>0</v>
      </c>
      <c r="J18" s="67"/>
      <c r="K18" s="68"/>
      <c r="L18" s="68"/>
      <c r="M18" s="68"/>
      <c r="N18" s="68"/>
      <c r="O18" s="68"/>
      <c r="P18" s="33"/>
      <c r="Q18" s="68"/>
      <c r="R18" s="68"/>
      <c r="S18" s="13"/>
    </row>
    <row r="19" customFormat="false" ht="27.75" hidden="false" customHeight="true" outlineLevel="0" collapsed="false">
      <c r="A19" s="5"/>
      <c r="B19" s="69"/>
      <c r="C19" s="64" t="str">
        <f aca="false">IF(B19="","",TEXT(B19,"DDD"))</f>
        <v/>
      </c>
      <c r="D19" s="36"/>
      <c r="E19" s="36"/>
      <c r="F19" s="4"/>
      <c r="G19" s="70"/>
      <c r="H19" s="36"/>
      <c r="I19" s="66" t="n">
        <v>0</v>
      </c>
      <c r="J19" s="71"/>
      <c r="K19" s="72"/>
      <c r="L19" s="72"/>
      <c r="M19" s="72"/>
      <c r="N19" s="72"/>
      <c r="O19" s="72"/>
      <c r="P19" s="4"/>
      <c r="Q19" s="72"/>
      <c r="R19" s="72"/>
      <c r="S19" s="5"/>
    </row>
    <row r="20" customFormat="false" ht="27.75" hidden="false" customHeight="true" outlineLevel="0" collapsed="false">
      <c r="A20" s="13"/>
      <c r="B20" s="63"/>
      <c r="C20" s="64" t="str">
        <f aca="false">IF(B20="","",TEXT(B20,"DDD"))</f>
        <v/>
      </c>
      <c r="D20" s="32"/>
      <c r="E20" s="32"/>
      <c r="F20" s="33"/>
      <c r="G20" s="65"/>
      <c r="H20" s="32"/>
      <c r="I20" s="66" t="n">
        <v>0</v>
      </c>
      <c r="J20" s="67"/>
      <c r="K20" s="68"/>
      <c r="L20" s="68"/>
      <c r="M20" s="68"/>
      <c r="N20" s="68"/>
      <c r="O20" s="68"/>
      <c r="P20" s="33"/>
      <c r="Q20" s="68"/>
      <c r="R20" s="68"/>
      <c r="S20" s="13"/>
    </row>
    <row r="21" customFormat="false" ht="27.75" hidden="false" customHeight="true" outlineLevel="0" collapsed="false">
      <c r="A21" s="5"/>
      <c r="B21" s="69"/>
      <c r="C21" s="64" t="str">
        <f aca="false">IF(B21="","",TEXT(B21,"DDD"))</f>
        <v/>
      </c>
      <c r="D21" s="36"/>
      <c r="E21" s="36"/>
      <c r="F21" s="4"/>
      <c r="G21" s="70"/>
      <c r="H21" s="36"/>
      <c r="I21" s="66" t="n">
        <v>0</v>
      </c>
      <c r="J21" s="71"/>
      <c r="K21" s="72"/>
      <c r="L21" s="72"/>
      <c r="M21" s="72"/>
      <c r="N21" s="72"/>
      <c r="O21" s="72"/>
      <c r="P21" s="4"/>
      <c r="Q21" s="72"/>
      <c r="R21" s="72"/>
      <c r="S21" s="5"/>
    </row>
    <row r="22" customFormat="false" ht="27.75" hidden="false" customHeight="true" outlineLevel="0" collapsed="false">
      <c r="A22" s="13"/>
      <c r="B22" s="63"/>
      <c r="C22" s="64" t="str">
        <f aca="false">IF(B22="","",TEXT(B22,"DDD"))</f>
        <v/>
      </c>
      <c r="D22" s="32"/>
      <c r="E22" s="32"/>
      <c r="F22" s="33"/>
      <c r="G22" s="65"/>
      <c r="H22" s="32"/>
      <c r="I22" s="66" t="n">
        <v>0</v>
      </c>
      <c r="J22" s="67"/>
      <c r="K22" s="68"/>
      <c r="L22" s="68"/>
      <c r="M22" s="68"/>
      <c r="N22" s="68"/>
      <c r="O22" s="68"/>
      <c r="P22" s="33"/>
      <c r="Q22" s="68"/>
      <c r="R22" s="68"/>
      <c r="S22" s="13"/>
    </row>
    <row r="23" customFormat="false" ht="27.75" hidden="false" customHeight="true" outlineLevel="0" collapsed="false">
      <c r="A23" s="5"/>
      <c r="B23" s="69"/>
      <c r="C23" s="64" t="str">
        <f aca="false">IF(B23="","",TEXT(B23,"DDD"))</f>
        <v/>
      </c>
      <c r="D23" s="36"/>
      <c r="E23" s="36"/>
      <c r="F23" s="4"/>
      <c r="G23" s="70"/>
      <c r="H23" s="36"/>
      <c r="I23" s="66" t="n">
        <v>0</v>
      </c>
      <c r="J23" s="71"/>
      <c r="K23" s="72"/>
      <c r="L23" s="72"/>
      <c r="M23" s="72"/>
      <c r="N23" s="72"/>
      <c r="O23" s="72"/>
      <c r="P23" s="4"/>
      <c r="Q23" s="72"/>
      <c r="R23" s="72"/>
      <c r="S23" s="5"/>
    </row>
    <row r="24" customFormat="false" ht="27.75" hidden="false" customHeight="true" outlineLevel="0" collapsed="false">
      <c r="A24" s="13"/>
      <c r="B24" s="63"/>
      <c r="C24" s="64" t="str">
        <f aca="false">IF(B24="","",TEXT(B24,"DDD"))</f>
        <v/>
      </c>
      <c r="D24" s="32"/>
      <c r="E24" s="32"/>
      <c r="F24" s="33"/>
      <c r="G24" s="65"/>
      <c r="H24" s="32"/>
      <c r="I24" s="66" t="n">
        <v>0</v>
      </c>
      <c r="J24" s="67"/>
      <c r="K24" s="68"/>
      <c r="L24" s="68"/>
      <c r="M24" s="68"/>
      <c r="N24" s="68"/>
      <c r="O24" s="68"/>
      <c r="P24" s="33"/>
      <c r="Q24" s="68"/>
      <c r="R24" s="68"/>
      <c r="S24" s="13"/>
    </row>
    <row r="25" customFormat="false" ht="27.75" hidden="false" customHeight="true" outlineLevel="0" collapsed="false">
      <c r="A25" s="5"/>
      <c r="B25" s="69"/>
      <c r="C25" s="64" t="str">
        <f aca="false">IF(B25="","",TEXT(B25,"DDD"))</f>
        <v/>
      </c>
      <c r="D25" s="36"/>
      <c r="E25" s="36"/>
      <c r="F25" s="4"/>
      <c r="G25" s="70"/>
      <c r="H25" s="36"/>
      <c r="I25" s="66" t="n">
        <v>0</v>
      </c>
      <c r="J25" s="71"/>
      <c r="K25" s="72"/>
      <c r="L25" s="72"/>
      <c r="M25" s="72"/>
      <c r="N25" s="72"/>
      <c r="O25" s="72"/>
      <c r="P25" s="4"/>
      <c r="Q25" s="72"/>
      <c r="R25" s="72"/>
      <c r="S25" s="5"/>
    </row>
    <row r="26" customFormat="false" ht="27.75" hidden="false" customHeight="true" outlineLevel="0" collapsed="false">
      <c r="A26" s="13"/>
      <c r="B26" s="63"/>
      <c r="C26" s="64" t="str">
        <f aca="false">IF(B26="","",TEXT(B26,"DDD"))</f>
        <v/>
      </c>
      <c r="D26" s="32"/>
      <c r="E26" s="32"/>
      <c r="F26" s="33"/>
      <c r="G26" s="65"/>
      <c r="H26" s="32"/>
      <c r="I26" s="66" t="n">
        <v>0</v>
      </c>
      <c r="J26" s="67"/>
      <c r="K26" s="68"/>
      <c r="L26" s="68"/>
      <c r="M26" s="68"/>
      <c r="N26" s="68"/>
      <c r="O26" s="68"/>
      <c r="P26" s="33"/>
      <c r="Q26" s="68"/>
      <c r="R26" s="68"/>
      <c r="S26" s="13"/>
    </row>
    <row r="27" customFormat="false" ht="27.75" hidden="false" customHeight="true" outlineLevel="0" collapsed="false">
      <c r="A27" s="5"/>
      <c r="B27" s="69"/>
      <c r="C27" s="64" t="str">
        <f aca="false">IF(B27="","",TEXT(B27,"DDD"))</f>
        <v/>
      </c>
      <c r="D27" s="36"/>
      <c r="E27" s="36"/>
      <c r="F27" s="4"/>
      <c r="G27" s="70"/>
      <c r="H27" s="36"/>
      <c r="I27" s="66" t="n">
        <v>0</v>
      </c>
      <c r="J27" s="71"/>
      <c r="K27" s="72"/>
      <c r="L27" s="72"/>
      <c r="M27" s="72"/>
      <c r="N27" s="72"/>
      <c r="O27" s="72"/>
      <c r="P27" s="4"/>
      <c r="Q27" s="72"/>
      <c r="R27" s="72"/>
      <c r="S27" s="5"/>
    </row>
    <row r="28" customFormat="false" ht="27.75" hidden="false" customHeight="true" outlineLevel="0" collapsed="false">
      <c r="A28" s="13"/>
      <c r="B28" s="63"/>
      <c r="C28" s="64" t="str">
        <f aca="false">IF(B28="","",TEXT(B28,"DDD"))</f>
        <v/>
      </c>
      <c r="D28" s="32"/>
      <c r="E28" s="32"/>
      <c r="F28" s="33"/>
      <c r="G28" s="65"/>
      <c r="H28" s="32"/>
      <c r="I28" s="66" t="n">
        <v>0</v>
      </c>
      <c r="J28" s="67"/>
      <c r="K28" s="68"/>
      <c r="L28" s="68"/>
      <c r="M28" s="68"/>
      <c r="N28" s="68"/>
      <c r="O28" s="68"/>
      <c r="P28" s="33"/>
      <c r="Q28" s="68"/>
      <c r="R28" s="68"/>
      <c r="S28" s="13"/>
    </row>
    <row r="29" customFormat="false" ht="27.75" hidden="false" customHeight="true" outlineLevel="0" collapsed="false">
      <c r="A29" s="5"/>
      <c r="B29" s="69"/>
      <c r="C29" s="64" t="str">
        <f aca="false">IF(B29="","",TEXT(B29,"DDD"))</f>
        <v/>
      </c>
      <c r="D29" s="36"/>
      <c r="E29" s="36"/>
      <c r="F29" s="4"/>
      <c r="G29" s="70"/>
      <c r="H29" s="36"/>
      <c r="I29" s="66" t="n">
        <v>0</v>
      </c>
      <c r="J29" s="71"/>
      <c r="K29" s="72"/>
      <c r="L29" s="72"/>
      <c r="M29" s="72"/>
      <c r="N29" s="72"/>
      <c r="O29" s="72"/>
      <c r="P29" s="4"/>
      <c r="Q29" s="72"/>
      <c r="R29" s="72"/>
      <c r="S29" s="5"/>
    </row>
    <row r="30" customFormat="false" ht="27.75" hidden="false" customHeight="true" outlineLevel="0" collapsed="false">
      <c r="A30" s="13"/>
      <c r="B30" s="63"/>
      <c r="C30" s="64" t="str">
        <f aca="false">IF(B30="","",TEXT(B30,"DDD"))</f>
        <v/>
      </c>
      <c r="D30" s="32"/>
      <c r="E30" s="32"/>
      <c r="F30" s="33"/>
      <c r="G30" s="65"/>
      <c r="H30" s="32"/>
      <c r="I30" s="66" t="n">
        <v>0</v>
      </c>
      <c r="J30" s="67"/>
      <c r="K30" s="68"/>
      <c r="L30" s="68"/>
      <c r="M30" s="68"/>
      <c r="N30" s="68"/>
      <c r="O30" s="68"/>
      <c r="P30" s="33"/>
      <c r="Q30" s="68"/>
      <c r="R30" s="68"/>
      <c r="S30" s="13"/>
    </row>
    <row r="31" customFormat="false" ht="27.75" hidden="false" customHeight="true" outlineLevel="0" collapsed="false">
      <c r="A31" s="5"/>
      <c r="B31" s="69"/>
      <c r="C31" s="64" t="str">
        <f aca="false">IF(B31="","",TEXT(B31,"DDD"))</f>
        <v/>
      </c>
      <c r="D31" s="36"/>
      <c r="E31" s="36"/>
      <c r="F31" s="4"/>
      <c r="G31" s="70"/>
      <c r="H31" s="36"/>
      <c r="I31" s="66" t="n">
        <v>0</v>
      </c>
      <c r="J31" s="71"/>
      <c r="K31" s="72"/>
      <c r="L31" s="72"/>
      <c r="M31" s="72"/>
      <c r="N31" s="72"/>
      <c r="O31" s="72"/>
      <c r="P31" s="4"/>
      <c r="Q31" s="72"/>
      <c r="R31" s="72"/>
      <c r="S31" s="5"/>
    </row>
    <row r="32" customFormat="false" ht="27.75" hidden="false" customHeight="true" outlineLevel="0" collapsed="false">
      <c r="A32" s="13"/>
      <c r="B32" s="63"/>
      <c r="C32" s="64" t="str">
        <f aca="false">IF(B32="","",TEXT(B32,"DDD"))</f>
        <v/>
      </c>
      <c r="D32" s="32"/>
      <c r="E32" s="32"/>
      <c r="F32" s="33"/>
      <c r="G32" s="65"/>
      <c r="H32" s="32"/>
      <c r="I32" s="66" t="n">
        <v>0</v>
      </c>
      <c r="J32" s="67"/>
      <c r="K32" s="68"/>
      <c r="L32" s="68"/>
      <c r="M32" s="68"/>
      <c r="N32" s="68"/>
      <c r="O32" s="68"/>
      <c r="P32" s="33"/>
      <c r="Q32" s="68"/>
      <c r="R32" s="68"/>
      <c r="S32" s="13"/>
    </row>
    <row r="33" customFormat="false" ht="27.75" hidden="false" customHeight="true" outlineLevel="0" collapsed="false">
      <c r="A33" s="5"/>
      <c r="B33" s="69"/>
      <c r="C33" s="64" t="str">
        <f aca="false">IF(B33="","",TEXT(B33,"DDD"))</f>
        <v/>
      </c>
      <c r="D33" s="36"/>
      <c r="E33" s="36"/>
      <c r="F33" s="4"/>
      <c r="G33" s="70"/>
      <c r="H33" s="36"/>
      <c r="I33" s="66" t="n">
        <v>0</v>
      </c>
      <c r="J33" s="71"/>
      <c r="K33" s="72"/>
      <c r="L33" s="72"/>
      <c r="M33" s="72"/>
      <c r="N33" s="72"/>
      <c r="O33" s="72"/>
      <c r="P33" s="4"/>
      <c r="Q33" s="72"/>
      <c r="R33" s="72"/>
      <c r="S33" s="5"/>
    </row>
    <row r="34" customFormat="false" ht="27.75" hidden="false" customHeight="true" outlineLevel="0" collapsed="false">
      <c r="A34" s="13"/>
      <c r="B34" s="63"/>
      <c r="C34" s="64" t="str">
        <f aca="false">IF(B34="","",TEXT(B34,"DDD"))</f>
        <v/>
      </c>
      <c r="D34" s="32"/>
      <c r="E34" s="32"/>
      <c r="F34" s="33"/>
      <c r="G34" s="65"/>
      <c r="H34" s="32"/>
      <c r="I34" s="66" t="n">
        <v>0</v>
      </c>
      <c r="J34" s="67"/>
      <c r="K34" s="68"/>
      <c r="L34" s="68"/>
      <c r="M34" s="68"/>
      <c r="N34" s="68"/>
      <c r="O34" s="68"/>
      <c r="P34" s="33"/>
      <c r="Q34" s="68"/>
      <c r="R34" s="68"/>
      <c r="S34" s="13"/>
    </row>
    <row r="35" customFormat="false" ht="27.75" hidden="false" customHeight="true" outlineLevel="0" collapsed="false">
      <c r="A35" s="5"/>
      <c r="B35" s="69"/>
      <c r="C35" s="64" t="str">
        <f aca="false">IF(B35="","",TEXT(B35,"DDD"))</f>
        <v/>
      </c>
      <c r="D35" s="36"/>
      <c r="E35" s="36"/>
      <c r="F35" s="4"/>
      <c r="G35" s="70"/>
      <c r="H35" s="36"/>
      <c r="I35" s="66" t="n">
        <v>0</v>
      </c>
      <c r="J35" s="71"/>
      <c r="K35" s="72"/>
      <c r="L35" s="72"/>
      <c r="M35" s="72"/>
      <c r="N35" s="72"/>
      <c r="O35" s="72"/>
      <c r="P35" s="4"/>
      <c r="Q35" s="72"/>
      <c r="R35" s="72"/>
      <c r="S35" s="5"/>
    </row>
    <row r="36" customFormat="false" ht="27.75" hidden="false" customHeight="true" outlineLevel="0" collapsed="false">
      <c r="A36" s="13"/>
      <c r="B36" s="63"/>
      <c r="C36" s="64" t="str">
        <f aca="false">IF(B36="","",TEXT(B36,"DDD"))</f>
        <v/>
      </c>
      <c r="D36" s="32"/>
      <c r="E36" s="32"/>
      <c r="F36" s="33"/>
      <c r="G36" s="65"/>
      <c r="H36" s="32"/>
      <c r="I36" s="66" t="n">
        <v>0</v>
      </c>
      <c r="J36" s="67"/>
      <c r="K36" s="68"/>
      <c r="L36" s="68"/>
      <c r="M36" s="68"/>
      <c r="N36" s="68"/>
      <c r="O36" s="68"/>
      <c r="P36" s="33"/>
      <c r="Q36" s="68"/>
      <c r="R36" s="68"/>
      <c r="S36" s="13"/>
    </row>
    <row r="37" customFormat="false" ht="27.75" hidden="false" customHeight="true" outlineLevel="0" collapsed="false">
      <c r="A37" s="5"/>
      <c r="B37" s="69"/>
      <c r="C37" s="64" t="str">
        <f aca="false">IF(B37="","",TEXT(B37,"DDD"))</f>
        <v/>
      </c>
      <c r="D37" s="36"/>
      <c r="E37" s="36"/>
      <c r="F37" s="4"/>
      <c r="G37" s="70"/>
      <c r="H37" s="36"/>
      <c r="I37" s="66" t="n">
        <v>0</v>
      </c>
      <c r="J37" s="71"/>
      <c r="K37" s="72"/>
      <c r="L37" s="72"/>
      <c r="M37" s="72"/>
      <c r="N37" s="72"/>
      <c r="O37" s="72"/>
      <c r="P37" s="4"/>
      <c r="Q37" s="72"/>
      <c r="R37" s="72"/>
      <c r="S37" s="5"/>
    </row>
    <row r="38" customFormat="false" ht="27.75" hidden="false" customHeight="true" outlineLevel="0" collapsed="false">
      <c r="A38" s="13"/>
      <c r="B38" s="63"/>
      <c r="C38" s="64" t="str">
        <f aca="false">IF(B38="","",TEXT(B38,"DDD"))</f>
        <v/>
      </c>
      <c r="D38" s="32"/>
      <c r="E38" s="32"/>
      <c r="F38" s="33"/>
      <c r="G38" s="65"/>
      <c r="H38" s="32"/>
      <c r="I38" s="66" t="n">
        <v>0</v>
      </c>
      <c r="J38" s="67"/>
      <c r="K38" s="68"/>
      <c r="L38" s="68"/>
      <c r="M38" s="68"/>
      <c r="N38" s="68"/>
      <c r="O38" s="68"/>
      <c r="P38" s="33"/>
      <c r="Q38" s="68"/>
      <c r="R38" s="68"/>
      <c r="S38" s="13"/>
    </row>
    <row r="39" customFormat="false" ht="27.75" hidden="false" customHeight="true" outlineLevel="0" collapsed="false">
      <c r="A39" s="5"/>
      <c r="B39" s="69"/>
      <c r="C39" s="64" t="str">
        <f aca="false">IF(B39="","",TEXT(B39,"DDD"))</f>
        <v/>
      </c>
      <c r="D39" s="36"/>
      <c r="E39" s="36"/>
      <c r="F39" s="4"/>
      <c r="G39" s="70"/>
      <c r="H39" s="36"/>
      <c r="I39" s="66" t="n">
        <v>0</v>
      </c>
      <c r="J39" s="71"/>
      <c r="K39" s="72"/>
      <c r="L39" s="72"/>
      <c r="M39" s="72"/>
      <c r="N39" s="72"/>
      <c r="O39" s="72"/>
      <c r="P39" s="4"/>
      <c r="Q39" s="72"/>
      <c r="R39" s="72"/>
      <c r="S39" s="5"/>
    </row>
    <row r="40" customFormat="false" ht="27.75" hidden="false" customHeight="true" outlineLevel="0" collapsed="false">
      <c r="A40" s="13"/>
      <c r="B40" s="63"/>
      <c r="C40" s="64" t="str">
        <f aca="false">IF(B40="","",TEXT(B40,"DDD"))</f>
        <v/>
      </c>
      <c r="D40" s="32"/>
      <c r="E40" s="32"/>
      <c r="F40" s="33"/>
      <c r="G40" s="65"/>
      <c r="H40" s="32"/>
      <c r="I40" s="66" t="n">
        <v>0</v>
      </c>
      <c r="J40" s="67"/>
      <c r="K40" s="68"/>
      <c r="L40" s="68"/>
      <c r="M40" s="68"/>
      <c r="N40" s="68"/>
      <c r="O40" s="68"/>
      <c r="P40" s="33"/>
      <c r="Q40" s="68"/>
      <c r="R40" s="68"/>
      <c r="S40" s="13"/>
    </row>
    <row r="41" customFormat="false" ht="27.75" hidden="false" customHeight="true" outlineLevel="0" collapsed="false">
      <c r="A41" s="5"/>
      <c r="B41" s="69"/>
      <c r="C41" s="64" t="str">
        <f aca="false">IF(B41="","",TEXT(B41,"DDD"))</f>
        <v/>
      </c>
      <c r="D41" s="36"/>
      <c r="E41" s="36"/>
      <c r="F41" s="4"/>
      <c r="G41" s="70"/>
      <c r="H41" s="36"/>
      <c r="I41" s="66" t="n">
        <v>0</v>
      </c>
      <c r="J41" s="71"/>
      <c r="K41" s="72"/>
      <c r="L41" s="72"/>
      <c r="M41" s="72"/>
      <c r="N41" s="72"/>
      <c r="O41" s="72"/>
      <c r="P41" s="4"/>
      <c r="Q41" s="72"/>
      <c r="R41" s="72"/>
      <c r="S41" s="5"/>
    </row>
    <row r="42" customFormat="false" ht="27.75" hidden="false" customHeight="true" outlineLevel="0" collapsed="false">
      <c r="A42" s="13"/>
      <c r="B42" s="63"/>
      <c r="C42" s="64" t="str">
        <f aca="false">IF(B42="","",TEXT(B42,"DDD"))</f>
        <v/>
      </c>
      <c r="D42" s="32"/>
      <c r="E42" s="32"/>
      <c r="F42" s="33"/>
      <c r="G42" s="65"/>
      <c r="H42" s="32"/>
      <c r="I42" s="66" t="n">
        <v>0</v>
      </c>
      <c r="J42" s="67"/>
      <c r="K42" s="68"/>
      <c r="L42" s="68"/>
      <c r="M42" s="68"/>
      <c r="N42" s="68"/>
      <c r="O42" s="68"/>
      <c r="P42" s="33"/>
      <c r="Q42" s="68"/>
      <c r="R42" s="68"/>
      <c r="S42" s="13"/>
    </row>
    <row r="43" customFormat="false" ht="27.75" hidden="false" customHeight="true" outlineLevel="0" collapsed="false">
      <c r="A43" s="5"/>
      <c r="B43" s="69"/>
      <c r="C43" s="64" t="str">
        <f aca="false">IF(B43="","",TEXT(B43,"DDD"))</f>
        <v/>
      </c>
      <c r="D43" s="36"/>
      <c r="E43" s="36"/>
      <c r="F43" s="4"/>
      <c r="G43" s="70"/>
      <c r="H43" s="36"/>
      <c r="I43" s="66" t="n">
        <v>0</v>
      </c>
      <c r="J43" s="71"/>
      <c r="K43" s="72"/>
      <c r="L43" s="72"/>
      <c r="M43" s="72"/>
      <c r="N43" s="72"/>
      <c r="O43" s="72"/>
      <c r="P43" s="4"/>
      <c r="Q43" s="72"/>
      <c r="R43" s="72"/>
      <c r="S43" s="5"/>
    </row>
    <row r="44" customFormat="false" ht="27.75" hidden="false" customHeight="true" outlineLevel="0" collapsed="false">
      <c r="A44" s="13"/>
      <c r="B44" s="63"/>
      <c r="C44" s="64" t="str">
        <f aca="false">IF(B44="","",TEXT(B44,"DDD"))</f>
        <v/>
      </c>
      <c r="D44" s="32"/>
      <c r="E44" s="32"/>
      <c r="F44" s="33"/>
      <c r="G44" s="65"/>
      <c r="H44" s="32"/>
      <c r="I44" s="66" t="n">
        <v>0</v>
      </c>
      <c r="J44" s="67"/>
      <c r="K44" s="68"/>
      <c r="L44" s="68"/>
      <c r="M44" s="68"/>
      <c r="N44" s="68"/>
      <c r="O44" s="68"/>
      <c r="P44" s="33"/>
      <c r="Q44" s="68"/>
      <c r="R44" s="68"/>
      <c r="S44" s="13"/>
    </row>
    <row r="45" customFormat="false" ht="27.75" hidden="false" customHeight="true" outlineLevel="0" collapsed="false">
      <c r="A45" s="5"/>
      <c r="B45" s="69"/>
      <c r="C45" s="64" t="str">
        <f aca="false">IF(B45="","",TEXT(B45,"DDD"))</f>
        <v/>
      </c>
      <c r="D45" s="36"/>
      <c r="E45" s="36"/>
      <c r="F45" s="4"/>
      <c r="G45" s="70"/>
      <c r="H45" s="36"/>
      <c r="I45" s="66" t="n">
        <v>0</v>
      </c>
      <c r="J45" s="71"/>
      <c r="K45" s="72"/>
      <c r="L45" s="72"/>
      <c r="M45" s="72"/>
      <c r="N45" s="72"/>
      <c r="O45" s="72"/>
      <c r="P45" s="4"/>
      <c r="Q45" s="72"/>
      <c r="R45" s="72"/>
      <c r="S45" s="5"/>
    </row>
    <row r="46" customFormat="false" ht="27.75" hidden="false" customHeight="true" outlineLevel="0" collapsed="false">
      <c r="A46" s="13"/>
      <c r="B46" s="63"/>
      <c r="C46" s="64" t="str">
        <f aca="false">IF(B46="","",TEXT(B46,"DDD"))</f>
        <v/>
      </c>
      <c r="D46" s="32"/>
      <c r="E46" s="32"/>
      <c r="F46" s="33"/>
      <c r="G46" s="65"/>
      <c r="H46" s="32"/>
      <c r="I46" s="66" t="n">
        <v>0</v>
      </c>
      <c r="J46" s="67"/>
      <c r="K46" s="68"/>
      <c r="L46" s="68"/>
      <c r="M46" s="68"/>
      <c r="N46" s="68"/>
      <c r="O46" s="68"/>
      <c r="P46" s="33"/>
      <c r="Q46" s="68"/>
      <c r="R46" s="68"/>
      <c r="S46" s="13"/>
    </row>
    <row r="47" customFormat="false" ht="27.75" hidden="false" customHeight="true" outlineLevel="0" collapsed="false">
      <c r="A47" s="5"/>
      <c r="B47" s="69"/>
      <c r="C47" s="64" t="str">
        <f aca="false">IF(B47="","",TEXT(B47,"DDD"))</f>
        <v/>
      </c>
      <c r="D47" s="36"/>
      <c r="E47" s="36"/>
      <c r="F47" s="4"/>
      <c r="G47" s="70"/>
      <c r="H47" s="36"/>
      <c r="I47" s="66" t="n">
        <v>0</v>
      </c>
      <c r="J47" s="71"/>
      <c r="K47" s="72"/>
      <c r="L47" s="72"/>
      <c r="M47" s="72"/>
      <c r="N47" s="72"/>
      <c r="O47" s="72"/>
      <c r="P47" s="4"/>
      <c r="Q47" s="72"/>
      <c r="R47" s="72"/>
      <c r="S47" s="5"/>
    </row>
    <row r="48" customFormat="false" ht="27.75" hidden="false" customHeight="true" outlineLevel="0" collapsed="false">
      <c r="A48" s="13"/>
      <c r="B48" s="63"/>
      <c r="C48" s="64" t="str">
        <f aca="false">IF(B48="","",TEXT(B48,"DDD"))</f>
        <v/>
      </c>
      <c r="D48" s="32"/>
      <c r="E48" s="32"/>
      <c r="F48" s="33"/>
      <c r="G48" s="65"/>
      <c r="H48" s="32"/>
      <c r="I48" s="66" t="n">
        <v>0</v>
      </c>
      <c r="J48" s="67"/>
      <c r="K48" s="68"/>
      <c r="L48" s="68"/>
      <c r="M48" s="68"/>
      <c r="N48" s="68"/>
      <c r="O48" s="68"/>
      <c r="P48" s="33"/>
      <c r="Q48" s="68"/>
      <c r="R48" s="68"/>
      <c r="S48" s="13"/>
    </row>
    <row r="49" customFormat="false" ht="27.75" hidden="false" customHeight="true" outlineLevel="0" collapsed="false">
      <c r="A49" s="5"/>
      <c r="B49" s="69"/>
      <c r="C49" s="64" t="str">
        <f aca="false">IF(B49="","",TEXT(B49,"DDD"))</f>
        <v/>
      </c>
      <c r="D49" s="36"/>
      <c r="E49" s="36"/>
      <c r="F49" s="4"/>
      <c r="G49" s="70"/>
      <c r="H49" s="36"/>
      <c r="I49" s="66" t="n">
        <v>0</v>
      </c>
      <c r="J49" s="71"/>
      <c r="K49" s="72"/>
      <c r="L49" s="72"/>
      <c r="M49" s="72"/>
      <c r="N49" s="72"/>
      <c r="O49" s="72"/>
      <c r="P49" s="4"/>
      <c r="Q49" s="72"/>
      <c r="R49" s="72"/>
      <c r="S49" s="5"/>
    </row>
    <row r="50" customFormat="false" ht="27.75" hidden="false" customHeight="true" outlineLevel="0" collapsed="false">
      <c r="A50" s="13"/>
      <c r="B50" s="63"/>
      <c r="C50" s="64" t="str">
        <f aca="false">IF(B50="","",TEXT(B50,"DDD"))</f>
        <v/>
      </c>
      <c r="D50" s="32"/>
      <c r="E50" s="32"/>
      <c r="F50" s="33"/>
      <c r="G50" s="65"/>
      <c r="H50" s="32"/>
      <c r="I50" s="66" t="n">
        <v>0</v>
      </c>
      <c r="J50" s="67"/>
      <c r="K50" s="68"/>
      <c r="L50" s="68"/>
      <c r="M50" s="68"/>
      <c r="N50" s="68"/>
      <c r="O50" s="68"/>
      <c r="P50" s="33"/>
      <c r="Q50" s="68"/>
      <c r="R50" s="68"/>
      <c r="S50" s="13"/>
    </row>
    <row r="51" customFormat="false" ht="27.75" hidden="false" customHeight="true" outlineLevel="0" collapsed="false">
      <c r="A51" s="5"/>
      <c r="B51" s="69"/>
      <c r="C51" s="64" t="str">
        <f aca="false">IF(B51="","",TEXT(B51,"DDD"))</f>
        <v/>
      </c>
      <c r="D51" s="36"/>
      <c r="E51" s="36"/>
      <c r="F51" s="4"/>
      <c r="G51" s="70"/>
      <c r="H51" s="36"/>
      <c r="I51" s="66" t="n">
        <v>0</v>
      </c>
      <c r="J51" s="71"/>
      <c r="K51" s="72"/>
      <c r="L51" s="72"/>
      <c r="M51" s="72"/>
      <c r="N51" s="72"/>
      <c r="O51" s="72"/>
      <c r="P51" s="4"/>
      <c r="Q51" s="72"/>
      <c r="R51" s="72"/>
      <c r="S51" s="5"/>
    </row>
    <row r="52" customFormat="false" ht="27.75" hidden="false" customHeight="true" outlineLevel="0" collapsed="false">
      <c r="A52" s="13"/>
      <c r="B52" s="63"/>
      <c r="C52" s="64" t="str">
        <f aca="false">IF(B52="","",TEXT(B52,"DDD"))</f>
        <v/>
      </c>
      <c r="D52" s="32"/>
      <c r="E52" s="32"/>
      <c r="F52" s="33"/>
      <c r="G52" s="65"/>
      <c r="H52" s="32"/>
      <c r="I52" s="66" t="n">
        <v>0</v>
      </c>
      <c r="J52" s="67"/>
      <c r="K52" s="68"/>
      <c r="L52" s="68"/>
      <c r="M52" s="68"/>
      <c r="N52" s="68"/>
      <c r="O52" s="68"/>
      <c r="P52" s="33"/>
      <c r="Q52" s="68"/>
      <c r="R52" s="68"/>
      <c r="S52" s="13"/>
    </row>
    <row r="53" customFormat="false" ht="27.75" hidden="false" customHeight="true" outlineLevel="0" collapsed="false">
      <c r="A53" s="5"/>
      <c r="B53" s="69"/>
      <c r="C53" s="64" t="str">
        <f aca="false">IF(B53="","",TEXT(B53,"DDD"))</f>
        <v/>
      </c>
      <c r="D53" s="36"/>
      <c r="E53" s="36"/>
      <c r="F53" s="4"/>
      <c r="G53" s="70"/>
      <c r="H53" s="36"/>
      <c r="I53" s="66" t="n">
        <v>0</v>
      </c>
      <c r="J53" s="71"/>
      <c r="K53" s="72"/>
      <c r="L53" s="72"/>
      <c r="M53" s="72"/>
      <c r="N53" s="72"/>
      <c r="O53" s="72"/>
      <c r="P53" s="4"/>
      <c r="Q53" s="72"/>
      <c r="R53" s="72"/>
      <c r="S53" s="5"/>
    </row>
    <row r="54" customFormat="false" ht="27.75" hidden="false" customHeight="true" outlineLevel="0" collapsed="false">
      <c r="A54" s="13"/>
      <c r="B54" s="63"/>
      <c r="C54" s="64" t="str">
        <f aca="false">IF(B54="","",TEXT(B54,"DDD"))</f>
        <v/>
      </c>
      <c r="D54" s="32"/>
      <c r="E54" s="32"/>
      <c r="F54" s="33"/>
      <c r="G54" s="65"/>
      <c r="H54" s="32"/>
      <c r="I54" s="66" t="n">
        <v>0</v>
      </c>
      <c r="J54" s="67"/>
      <c r="K54" s="68"/>
      <c r="L54" s="68"/>
      <c r="M54" s="68"/>
      <c r="N54" s="68"/>
      <c r="O54" s="68"/>
      <c r="P54" s="33"/>
      <c r="Q54" s="68"/>
      <c r="R54" s="68"/>
      <c r="S54" s="13"/>
    </row>
    <row r="55" customFormat="false" ht="27.75" hidden="false" customHeight="true" outlineLevel="0" collapsed="false">
      <c r="A55" s="5"/>
      <c r="B55" s="69"/>
      <c r="C55" s="64" t="str">
        <f aca="false">IF(B55="","",TEXT(B55,"DDD"))</f>
        <v/>
      </c>
      <c r="D55" s="36"/>
      <c r="E55" s="36"/>
      <c r="F55" s="4"/>
      <c r="G55" s="70"/>
      <c r="H55" s="36"/>
      <c r="I55" s="66" t="n">
        <v>0</v>
      </c>
      <c r="J55" s="71"/>
      <c r="K55" s="72"/>
      <c r="L55" s="72"/>
      <c r="M55" s="72"/>
      <c r="N55" s="72"/>
      <c r="O55" s="72"/>
      <c r="P55" s="4"/>
      <c r="Q55" s="72"/>
      <c r="R55" s="72"/>
      <c r="S55" s="5"/>
    </row>
    <row r="56" customFormat="false" ht="27.75" hidden="false" customHeight="true" outlineLevel="0" collapsed="false">
      <c r="A56" s="13"/>
      <c r="B56" s="63"/>
      <c r="C56" s="64" t="str">
        <f aca="false">IF(B56="","",TEXT(B56,"DDD"))</f>
        <v/>
      </c>
      <c r="D56" s="32"/>
      <c r="E56" s="32"/>
      <c r="F56" s="33"/>
      <c r="G56" s="65"/>
      <c r="H56" s="32"/>
      <c r="I56" s="66" t="n">
        <v>0</v>
      </c>
      <c r="J56" s="67"/>
      <c r="K56" s="68"/>
      <c r="L56" s="68"/>
      <c r="M56" s="68"/>
      <c r="N56" s="68"/>
      <c r="O56" s="68"/>
      <c r="P56" s="33"/>
      <c r="Q56" s="68"/>
      <c r="R56" s="68"/>
      <c r="S56" s="13"/>
    </row>
    <row r="57" customFormat="false" ht="27.75" hidden="false" customHeight="true" outlineLevel="0" collapsed="false">
      <c r="A57" s="5"/>
      <c r="B57" s="69"/>
      <c r="C57" s="64" t="str">
        <f aca="false">IF(B57="","",TEXT(B57,"DDD"))</f>
        <v/>
      </c>
      <c r="D57" s="36"/>
      <c r="E57" s="36"/>
      <c r="F57" s="4"/>
      <c r="G57" s="70"/>
      <c r="H57" s="36"/>
      <c r="I57" s="66" t="n">
        <v>0</v>
      </c>
      <c r="J57" s="71"/>
      <c r="K57" s="72"/>
      <c r="L57" s="72"/>
      <c r="M57" s="72"/>
      <c r="N57" s="72"/>
      <c r="O57" s="72"/>
      <c r="P57" s="4"/>
      <c r="Q57" s="72"/>
      <c r="R57" s="72"/>
      <c r="S57" s="5"/>
    </row>
    <row r="58" customFormat="false" ht="27.75" hidden="false" customHeight="true" outlineLevel="0" collapsed="false">
      <c r="A58" s="13"/>
      <c r="B58" s="63"/>
      <c r="C58" s="64" t="str">
        <f aca="false">IF(B58="","",TEXT(B58,"DDD"))</f>
        <v/>
      </c>
      <c r="D58" s="32"/>
      <c r="E58" s="32"/>
      <c r="F58" s="33"/>
      <c r="G58" s="65"/>
      <c r="H58" s="32"/>
      <c r="I58" s="66" t="n">
        <v>0</v>
      </c>
      <c r="J58" s="67"/>
      <c r="K58" s="68"/>
      <c r="L58" s="68"/>
      <c r="M58" s="68"/>
      <c r="N58" s="68"/>
      <c r="O58" s="68"/>
      <c r="P58" s="33"/>
      <c r="Q58" s="68"/>
      <c r="R58" s="68"/>
      <c r="S58" s="13"/>
    </row>
    <row r="59" customFormat="false" ht="27.75" hidden="false" customHeight="true" outlineLevel="0" collapsed="false">
      <c r="A59" s="5"/>
      <c r="B59" s="69"/>
      <c r="C59" s="64" t="str">
        <f aca="false">IF(B59="","",TEXT(B59,"DDD"))</f>
        <v/>
      </c>
      <c r="D59" s="36"/>
      <c r="E59" s="36"/>
      <c r="F59" s="4"/>
      <c r="G59" s="70"/>
      <c r="H59" s="36"/>
      <c r="I59" s="66" t="n">
        <v>0</v>
      </c>
      <c r="J59" s="71"/>
      <c r="K59" s="72"/>
      <c r="L59" s="72"/>
      <c r="M59" s="72"/>
      <c r="N59" s="72"/>
      <c r="O59" s="72"/>
      <c r="P59" s="4"/>
      <c r="Q59" s="72"/>
      <c r="R59" s="72"/>
      <c r="S59" s="5"/>
    </row>
    <row r="60" customFormat="false" ht="27.75" hidden="false" customHeight="true" outlineLevel="0" collapsed="false">
      <c r="A60" s="13"/>
      <c r="B60" s="63"/>
      <c r="C60" s="64" t="str">
        <f aca="false">IF(B60="","",TEXT(B60,"DDD"))</f>
        <v/>
      </c>
      <c r="D60" s="32"/>
      <c r="E60" s="32"/>
      <c r="F60" s="33"/>
      <c r="G60" s="65"/>
      <c r="H60" s="32"/>
      <c r="I60" s="66" t="n">
        <v>0</v>
      </c>
      <c r="J60" s="67"/>
      <c r="K60" s="68"/>
      <c r="L60" s="68"/>
      <c r="M60" s="68"/>
      <c r="N60" s="68"/>
      <c r="O60" s="68"/>
      <c r="P60" s="33"/>
      <c r="Q60" s="68"/>
      <c r="R60" s="68"/>
      <c r="S60" s="13"/>
    </row>
    <row r="61" customFormat="false" ht="27.75" hidden="false" customHeight="true" outlineLevel="0" collapsed="false">
      <c r="A61" s="5"/>
      <c r="B61" s="69"/>
      <c r="C61" s="64" t="str">
        <f aca="false">IF(B61="","",TEXT(B61,"DDD"))</f>
        <v/>
      </c>
      <c r="D61" s="36"/>
      <c r="E61" s="36"/>
      <c r="F61" s="4"/>
      <c r="G61" s="70"/>
      <c r="H61" s="36"/>
      <c r="I61" s="66" t="n">
        <v>0</v>
      </c>
      <c r="J61" s="71"/>
      <c r="K61" s="72"/>
      <c r="L61" s="72"/>
      <c r="M61" s="72"/>
      <c r="N61" s="72"/>
      <c r="O61" s="72"/>
      <c r="P61" s="4"/>
      <c r="Q61" s="72"/>
      <c r="R61" s="72"/>
      <c r="S61" s="5"/>
    </row>
    <row r="62" customFormat="false" ht="27.75" hidden="false" customHeight="true" outlineLevel="0" collapsed="false">
      <c r="A62" s="13"/>
      <c r="B62" s="63"/>
      <c r="C62" s="64" t="str">
        <f aca="false">IF(B62="","",TEXT(B62,"DDD"))</f>
        <v/>
      </c>
      <c r="D62" s="32"/>
      <c r="E62" s="32"/>
      <c r="F62" s="33"/>
      <c r="G62" s="65"/>
      <c r="H62" s="32"/>
      <c r="I62" s="66" t="n">
        <v>0</v>
      </c>
      <c r="J62" s="67"/>
      <c r="K62" s="68"/>
      <c r="L62" s="68"/>
      <c r="M62" s="68"/>
      <c r="N62" s="68"/>
      <c r="O62" s="68"/>
      <c r="P62" s="33"/>
      <c r="Q62" s="68"/>
      <c r="R62" s="68"/>
      <c r="S62" s="13"/>
    </row>
    <row r="63" customFormat="false" ht="27.75" hidden="false" customHeight="true" outlineLevel="0" collapsed="false">
      <c r="A63" s="5"/>
      <c r="B63" s="69"/>
      <c r="C63" s="64" t="str">
        <f aca="false">IF(B63="","",TEXT(B63,"DDD"))</f>
        <v/>
      </c>
      <c r="D63" s="36"/>
      <c r="E63" s="36"/>
      <c r="F63" s="4"/>
      <c r="G63" s="70"/>
      <c r="H63" s="36"/>
      <c r="I63" s="66" t="n">
        <v>0</v>
      </c>
      <c r="J63" s="71"/>
      <c r="K63" s="72"/>
      <c r="L63" s="72"/>
      <c r="M63" s="72"/>
      <c r="N63" s="72"/>
      <c r="O63" s="72"/>
      <c r="P63" s="4"/>
      <c r="Q63" s="72"/>
      <c r="R63" s="72"/>
      <c r="S63" s="5"/>
    </row>
    <row r="64" customFormat="false" ht="27.75" hidden="false" customHeight="true" outlineLevel="0" collapsed="false">
      <c r="A64" s="13"/>
      <c r="B64" s="63"/>
      <c r="C64" s="64" t="str">
        <f aca="false">IF(B64="","",TEXT(B64,"DDD"))</f>
        <v/>
      </c>
      <c r="D64" s="32"/>
      <c r="E64" s="32"/>
      <c r="F64" s="33"/>
      <c r="G64" s="65"/>
      <c r="H64" s="32"/>
      <c r="I64" s="66" t="n">
        <v>0</v>
      </c>
      <c r="J64" s="67"/>
      <c r="K64" s="68"/>
      <c r="L64" s="68"/>
      <c r="M64" s="68"/>
      <c r="N64" s="68"/>
      <c r="O64" s="68"/>
      <c r="P64" s="33"/>
      <c r="Q64" s="68"/>
      <c r="R64" s="68"/>
      <c r="S64" s="13"/>
    </row>
    <row r="65" customFormat="false" ht="27.75" hidden="false" customHeight="true" outlineLevel="0" collapsed="false">
      <c r="A65" s="5"/>
      <c r="B65" s="69"/>
      <c r="C65" s="64" t="str">
        <f aca="false">IF(B65="","",TEXT(B65,"DDD"))</f>
        <v/>
      </c>
      <c r="D65" s="36"/>
      <c r="E65" s="36"/>
      <c r="F65" s="4"/>
      <c r="G65" s="70"/>
      <c r="H65" s="36"/>
      <c r="I65" s="66" t="n">
        <v>0</v>
      </c>
      <c r="J65" s="71"/>
      <c r="K65" s="72"/>
      <c r="L65" s="72"/>
      <c r="M65" s="72"/>
      <c r="N65" s="72"/>
      <c r="O65" s="72"/>
      <c r="P65" s="4"/>
      <c r="Q65" s="72"/>
      <c r="R65" s="72"/>
      <c r="S65" s="5"/>
    </row>
    <row r="66" customFormat="false" ht="27.75" hidden="false" customHeight="true" outlineLevel="0" collapsed="false">
      <c r="A66" s="13"/>
      <c r="B66" s="63"/>
      <c r="C66" s="64" t="str">
        <f aca="false">IF(B66="","",TEXT(B66,"DDD"))</f>
        <v/>
      </c>
      <c r="D66" s="32"/>
      <c r="E66" s="32"/>
      <c r="F66" s="33"/>
      <c r="G66" s="65"/>
      <c r="H66" s="32"/>
      <c r="I66" s="66" t="n">
        <v>0</v>
      </c>
      <c r="J66" s="67"/>
      <c r="K66" s="68"/>
      <c r="L66" s="68"/>
      <c r="M66" s="68"/>
      <c r="N66" s="68"/>
      <c r="O66" s="68"/>
      <c r="P66" s="33"/>
      <c r="Q66" s="68"/>
      <c r="R66" s="68"/>
      <c r="S66" s="13"/>
    </row>
    <row r="67" customFormat="false" ht="27.75" hidden="false" customHeight="true" outlineLevel="0" collapsed="false">
      <c r="A67" s="5"/>
      <c r="B67" s="69"/>
      <c r="C67" s="64" t="str">
        <f aca="false">IF(B67="","",TEXT(B67,"DDD"))</f>
        <v/>
      </c>
      <c r="D67" s="36"/>
      <c r="E67" s="36"/>
      <c r="F67" s="4"/>
      <c r="G67" s="70"/>
      <c r="H67" s="36"/>
      <c r="I67" s="66" t="n">
        <v>0</v>
      </c>
      <c r="J67" s="71"/>
      <c r="K67" s="72"/>
      <c r="L67" s="72"/>
      <c r="M67" s="72"/>
      <c r="N67" s="72"/>
      <c r="O67" s="72"/>
      <c r="P67" s="4"/>
      <c r="Q67" s="72"/>
      <c r="R67" s="72"/>
      <c r="S67" s="5"/>
    </row>
    <row r="68" customFormat="false" ht="27.75" hidden="false" customHeight="true" outlineLevel="0" collapsed="false">
      <c r="A68" s="13"/>
      <c r="B68" s="63"/>
      <c r="C68" s="64" t="str">
        <f aca="false">IF(B68="","",TEXT(B68,"DDD"))</f>
        <v/>
      </c>
      <c r="D68" s="32"/>
      <c r="E68" s="32"/>
      <c r="F68" s="33"/>
      <c r="G68" s="65"/>
      <c r="H68" s="32"/>
      <c r="I68" s="66" t="n">
        <v>0</v>
      </c>
      <c r="J68" s="67"/>
      <c r="K68" s="68"/>
      <c r="L68" s="68"/>
      <c r="M68" s="68"/>
      <c r="N68" s="68"/>
      <c r="O68" s="68"/>
      <c r="P68" s="33"/>
      <c r="Q68" s="68"/>
      <c r="R68" s="68"/>
      <c r="S68" s="13"/>
    </row>
    <row r="69" customFormat="false" ht="27.75" hidden="false" customHeight="true" outlineLevel="0" collapsed="false">
      <c r="A69" s="5"/>
      <c r="B69" s="69"/>
      <c r="C69" s="64" t="str">
        <f aca="false">IF(B69="","",TEXT(B69,"DDD"))</f>
        <v/>
      </c>
      <c r="D69" s="36"/>
      <c r="E69" s="36"/>
      <c r="F69" s="4"/>
      <c r="G69" s="70"/>
      <c r="H69" s="36"/>
      <c r="I69" s="66" t="n">
        <v>0</v>
      </c>
      <c r="J69" s="71"/>
      <c r="K69" s="72"/>
      <c r="L69" s="72"/>
      <c r="M69" s="72"/>
      <c r="N69" s="72"/>
      <c r="O69" s="72"/>
      <c r="P69" s="4"/>
      <c r="Q69" s="72"/>
      <c r="R69" s="72"/>
      <c r="S69" s="5"/>
    </row>
    <row r="70" customFormat="false" ht="27.75" hidden="false" customHeight="true" outlineLevel="0" collapsed="false">
      <c r="A70" s="13"/>
      <c r="B70" s="63"/>
      <c r="C70" s="64" t="str">
        <f aca="false">IF(B70="","",TEXT(B70,"DDD"))</f>
        <v/>
      </c>
      <c r="D70" s="32"/>
      <c r="E70" s="32"/>
      <c r="F70" s="33"/>
      <c r="G70" s="65"/>
      <c r="H70" s="32"/>
      <c r="I70" s="66" t="n">
        <v>0</v>
      </c>
      <c r="J70" s="67"/>
      <c r="K70" s="68"/>
      <c r="L70" s="68"/>
      <c r="M70" s="68"/>
      <c r="N70" s="68"/>
      <c r="O70" s="68"/>
      <c r="P70" s="33"/>
      <c r="Q70" s="68"/>
      <c r="R70" s="68"/>
      <c r="S70" s="13"/>
    </row>
    <row r="71" customFormat="false" ht="27.75" hidden="false" customHeight="true" outlineLevel="0" collapsed="false">
      <c r="A71" s="5"/>
      <c r="B71" s="69"/>
      <c r="C71" s="64" t="str">
        <f aca="false">IF(B71="","",TEXT(B71,"DDD"))</f>
        <v/>
      </c>
      <c r="D71" s="36"/>
      <c r="E71" s="36"/>
      <c r="F71" s="4"/>
      <c r="G71" s="70"/>
      <c r="H71" s="36"/>
      <c r="I71" s="66" t="n">
        <v>0</v>
      </c>
      <c r="J71" s="71"/>
      <c r="K71" s="72"/>
      <c r="L71" s="72"/>
      <c r="M71" s="72"/>
      <c r="N71" s="72"/>
      <c r="O71" s="72"/>
      <c r="P71" s="4"/>
      <c r="Q71" s="72"/>
      <c r="R71" s="72"/>
      <c r="S71" s="5"/>
    </row>
    <row r="72" customFormat="false" ht="27.75" hidden="false" customHeight="true" outlineLevel="0" collapsed="false">
      <c r="A72" s="13"/>
      <c r="B72" s="63"/>
      <c r="C72" s="64" t="str">
        <f aca="false">IF(B72="","",TEXT(B72,"DDD"))</f>
        <v/>
      </c>
      <c r="D72" s="32"/>
      <c r="E72" s="32"/>
      <c r="F72" s="33"/>
      <c r="G72" s="65"/>
      <c r="H72" s="32"/>
      <c r="I72" s="66" t="n">
        <v>0</v>
      </c>
      <c r="J72" s="67"/>
      <c r="K72" s="68"/>
      <c r="L72" s="68"/>
      <c r="M72" s="68"/>
      <c r="N72" s="68"/>
      <c r="O72" s="68"/>
      <c r="P72" s="33"/>
      <c r="Q72" s="68"/>
      <c r="R72" s="68"/>
      <c r="S72" s="13"/>
    </row>
    <row r="73" customFormat="false" ht="27.75" hidden="false" customHeight="true" outlineLevel="0" collapsed="false">
      <c r="A73" s="5"/>
      <c r="B73" s="69"/>
      <c r="C73" s="64" t="str">
        <f aca="false">IF(B73="","",TEXT(B73,"DDD"))</f>
        <v/>
      </c>
      <c r="D73" s="36"/>
      <c r="E73" s="36"/>
      <c r="F73" s="4"/>
      <c r="G73" s="70"/>
      <c r="H73" s="36"/>
      <c r="I73" s="66" t="n">
        <v>0</v>
      </c>
      <c r="J73" s="71"/>
      <c r="K73" s="72"/>
      <c r="L73" s="72"/>
      <c r="M73" s="72"/>
      <c r="N73" s="72"/>
      <c r="O73" s="72"/>
      <c r="P73" s="4"/>
      <c r="Q73" s="72"/>
      <c r="R73" s="72"/>
      <c r="S73" s="5"/>
    </row>
    <row r="74" customFormat="false" ht="27.75" hidden="false" customHeight="true" outlineLevel="0" collapsed="false">
      <c r="A74" s="13"/>
      <c r="B74" s="63"/>
      <c r="C74" s="64" t="str">
        <f aca="false">IF(B74="","",TEXT(B74,"DDD"))</f>
        <v/>
      </c>
      <c r="D74" s="32"/>
      <c r="E74" s="32"/>
      <c r="F74" s="33"/>
      <c r="G74" s="65"/>
      <c r="H74" s="32"/>
      <c r="I74" s="66" t="n">
        <v>0</v>
      </c>
      <c r="J74" s="67"/>
      <c r="K74" s="68"/>
      <c r="L74" s="68"/>
      <c r="M74" s="68"/>
      <c r="N74" s="68"/>
      <c r="O74" s="68"/>
      <c r="P74" s="33"/>
      <c r="Q74" s="68"/>
      <c r="R74" s="68"/>
      <c r="S74" s="13"/>
    </row>
    <row r="75" customFormat="false" ht="27.75" hidden="false" customHeight="true" outlineLevel="0" collapsed="false">
      <c r="A75" s="5"/>
      <c r="B75" s="69"/>
      <c r="C75" s="64" t="str">
        <f aca="false">IF(B75="","",TEXT(B75,"DDD"))</f>
        <v/>
      </c>
      <c r="D75" s="36"/>
      <c r="E75" s="36"/>
      <c r="F75" s="4"/>
      <c r="G75" s="70"/>
      <c r="H75" s="36"/>
      <c r="I75" s="66" t="n">
        <v>0</v>
      </c>
      <c r="J75" s="71"/>
      <c r="K75" s="72"/>
      <c r="L75" s="72"/>
      <c r="M75" s="72"/>
      <c r="N75" s="72"/>
      <c r="O75" s="72"/>
      <c r="P75" s="4"/>
      <c r="Q75" s="72"/>
      <c r="R75" s="72"/>
      <c r="S75" s="5"/>
    </row>
    <row r="76" customFormat="false" ht="27.75" hidden="false" customHeight="true" outlineLevel="0" collapsed="false">
      <c r="A76" s="13"/>
      <c r="B76" s="63"/>
      <c r="C76" s="64" t="str">
        <f aca="false">IF(B76="","",TEXT(B76,"DDD"))</f>
        <v/>
      </c>
      <c r="D76" s="32"/>
      <c r="E76" s="32"/>
      <c r="F76" s="33"/>
      <c r="G76" s="65"/>
      <c r="H76" s="32"/>
      <c r="I76" s="66" t="n">
        <v>0</v>
      </c>
      <c r="J76" s="67"/>
      <c r="K76" s="68"/>
      <c r="L76" s="68"/>
      <c r="M76" s="68"/>
      <c r="N76" s="68"/>
      <c r="O76" s="68"/>
      <c r="P76" s="33"/>
      <c r="Q76" s="68"/>
      <c r="R76" s="68"/>
      <c r="S76" s="13"/>
    </row>
    <row r="77" customFormat="false" ht="27.75" hidden="false" customHeight="true" outlineLevel="0" collapsed="false">
      <c r="A77" s="5"/>
      <c r="B77" s="69"/>
      <c r="C77" s="64" t="str">
        <f aca="false">IF(B77="","",TEXT(B77,"DDD"))</f>
        <v/>
      </c>
      <c r="D77" s="36"/>
      <c r="E77" s="36"/>
      <c r="F77" s="4"/>
      <c r="G77" s="70"/>
      <c r="H77" s="36"/>
      <c r="I77" s="66" t="n">
        <v>0</v>
      </c>
      <c r="J77" s="71"/>
      <c r="K77" s="72"/>
      <c r="L77" s="72"/>
      <c r="M77" s="72"/>
      <c r="N77" s="72"/>
      <c r="O77" s="72"/>
      <c r="P77" s="4"/>
      <c r="Q77" s="72"/>
      <c r="R77" s="72"/>
      <c r="S77" s="5"/>
    </row>
    <row r="78" customFormat="false" ht="27.75" hidden="false" customHeight="true" outlineLevel="0" collapsed="false">
      <c r="A78" s="13"/>
      <c r="B78" s="63"/>
      <c r="C78" s="64" t="str">
        <f aca="false">IF(B78="","",TEXT(B78,"DDD"))</f>
        <v/>
      </c>
      <c r="D78" s="32"/>
      <c r="E78" s="32"/>
      <c r="F78" s="33"/>
      <c r="G78" s="65"/>
      <c r="H78" s="32"/>
      <c r="I78" s="66" t="n">
        <v>0</v>
      </c>
      <c r="J78" s="67"/>
      <c r="K78" s="68"/>
      <c r="L78" s="68"/>
      <c r="M78" s="68"/>
      <c r="N78" s="68"/>
      <c r="O78" s="68"/>
      <c r="P78" s="33"/>
      <c r="Q78" s="68"/>
      <c r="R78" s="68"/>
      <c r="S78" s="13"/>
    </row>
    <row r="79" customFormat="false" ht="27.75" hidden="false" customHeight="true" outlineLevel="0" collapsed="false">
      <c r="A79" s="5"/>
      <c r="B79" s="69"/>
      <c r="C79" s="64" t="str">
        <f aca="false">IF(B79="","",TEXT(B79,"DDD"))</f>
        <v/>
      </c>
      <c r="D79" s="36"/>
      <c r="E79" s="36"/>
      <c r="F79" s="4"/>
      <c r="G79" s="70"/>
      <c r="H79" s="36"/>
      <c r="I79" s="66" t="n">
        <v>0</v>
      </c>
      <c r="J79" s="71"/>
      <c r="K79" s="72"/>
      <c r="L79" s="72"/>
      <c r="M79" s="72"/>
      <c r="N79" s="72"/>
      <c r="O79" s="72"/>
      <c r="P79" s="4"/>
      <c r="Q79" s="72"/>
      <c r="R79" s="72"/>
      <c r="S79" s="5"/>
    </row>
    <row r="80" customFormat="false" ht="27.75" hidden="false" customHeight="true" outlineLevel="0" collapsed="false">
      <c r="A80" s="13"/>
      <c r="B80" s="63"/>
      <c r="C80" s="64" t="str">
        <f aca="false">IF(B80="","",TEXT(B80,"DDD"))</f>
        <v/>
      </c>
      <c r="D80" s="32"/>
      <c r="E80" s="32"/>
      <c r="F80" s="33"/>
      <c r="G80" s="65"/>
      <c r="H80" s="32"/>
      <c r="I80" s="66" t="n">
        <v>0</v>
      </c>
      <c r="J80" s="67"/>
      <c r="K80" s="68"/>
      <c r="L80" s="68"/>
      <c r="M80" s="68"/>
      <c r="N80" s="68"/>
      <c r="O80" s="68"/>
      <c r="P80" s="33"/>
      <c r="Q80" s="68"/>
      <c r="R80" s="68"/>
      <c r="S80" s="13"/>
    </row>
    <row r="81" customFormat="false" ht="27.75" hidden="false" customHeight="true" outlineLevel="0" collapsed="false">
      <c r="A81" s="5"/>
      <c r="B81" s="69"/>
      <c r="C81" s="64" t="str">
        <f aca="false">IF(B81="","",TEXT(B81,"DDD"))</f>
        <v/>
      </c>
      <c r="D81" s="36"/>
      <c r="E81" s="36"/>
      <c r="F81" s="4"/>
      <c r="G81" s="70"/>
      <c r="H81" s="36"/>
      <c r="I81" s="66" t="n">
        <v>0</v>
      </c>
      <c r="J81" s="71"/>
      <c r="K81" s="72"/>
      <c r="L81" s="72"/>
      <c r="M81" s="72"/>
      <c r="N81" s="72"/>
      <c r="O81" s="72"/>
      <c r="P81" s="4"/>
      <c r="Q81" s="72"/>
      <c r="R81" s="72"/>
      <c r="S81" s="5"/>
    </row>
    <row r="82" customFormat="false" ht="27.75" hidden="false" customHeight="true" outlineLevel="0" collapsed="false">
      <c r="A82" s="13"/>
      <c r="B82" s="63"/>
      <c r="C82" s="64" t="str">
        <f aca="false">IF(B82="","",TEXT(B82,"DDD"))</f>
        <v/>
      </c>
      <c r="D82" s="32"/>
      <c r="E82" s="32"/>
      <c r="F82" s="33"/>
      <c r="G82" s="65"/>
      <c r="H82" s="32"/>
      <c r="I82" s="66" t="n">
        <v>0</v>
      </c>
      <c r="J82" s="67"/>
      <c r="K82" s="68"/>
      <c r="L82" s="68"/>
      <c r="M82" s="68"/>
      <c r="N82" s="68"/>
      <c r="O82" s="68"/>
      <c r="P82" s="33"/>
      <c r="Q82" s="68"/>
      <c r="R82" s="68"/>
      <c r="S82" s="13"/>
    </row>
    <row r="83" customFormat="false" ht="27.75" hidden="false" customHeight="true" outlineLevel="0" collapsed="false">
      <c r="A83" s="5"/>
      <c r="B83" s="69"/>
      <c r="C83" s="64" t="str">
        <f aca="false">IF(B83="","",TEXT(B83,"DDD"))</f>
        <v/>
      </c>
      <c r="D83" s="36"/>
      <c r="E83" s="36"/>
      <c r="F83" s="4"/>
      <c r="G83" s="70"/>
      <c r="H83" s="36"/>
      <c r="I83" s="66" t="n">
        <v>0</v>
      </c>
      <c r="J83" s="71"/>
      <c r="K83" s="72"/>
      <c r="L83" s="72"/>
      <c r="M83" s="72"/>
      <c r="N83" s="72"/>
      <c r="O83" s="72"/>
      <c r="P83" s="4"/>
      <c r="Q83" s="72"/>
      <c r="R83" s="72"/>
      <c r="S83" s="5"/>
    </row>
    <row r="84" customFormat="false" ht="27.75" hidden="false" customHeight="true" outlineLevel="0" collapsed="false">
      <c r="A84" s="13"/>
      <c r="B84" s="63"/>
      <c r="C84" s="64" t="str">
        <f aca="false">IF(B84="","",TEXT(B84,"DDD"))</f>
        <v/>
      </c>
      <c r="D84" s="32"/>
      <c r="E84" s="32"/>
      <c r="F84" s="33"/>
      <c r="G84" s="65"/>
      <c r="H84" s="32"/>
      <c r="I84" s="66" t="n">
        <v>0</v>
      </c>
      <c r="J84" s="67"/>
      <c r="K84" s="68"/>
      <c r="L84" s="68"/>
      <c r="M84" s="68"/>
      <c r="N84" s="68"/>
      <c r="O84" s="68"/>
      <c r="P84" s="33"/>
      <c r="Q84" s="68"/>
      <c r="R84" s="68"/>
      <c r="S84" s="13"/>
    </row>
    <row r="85" customFormat="false" ht="27.75" hidden="false" customHeight="true" outlineLevel="0" collapsed="false">
      <c r="A85" s="5"/>
      <c r="B85" s="69"/>
      <c r="C85" s="64" t="str">
        <f aca="false">IF(B85="","",TEXT(B85,"DDD"))</f>
        <v/>
      </c>
      <c r="D85" s="36"/>
      <c r="E85" s="36"/>
      <c r="F85" s="4"/>
      <c r="G85" s="70"/>
      <c r="H85" s="36"/>
      <c r="I85" s="66" t="n">
        <v>0</v>
      </c>
      <c r="J85" s="71"/>
      <c r="K85" s="72"/>
      <c r="L85" s="72"/>
      <c r="M85" s="72"/>
      <c r="N85" s="72"/>
      <c r="O85" s="72"/>
      <c r="P85" s="4"/>
      <c r="Q85" s="72"/>
      <c r="R85" s="72"/>
      <c r="S85" s="5"/>
    </row>
    <row r="86" customFormat="false" ht="27.75" hidden="false" customHeight="true" outlineLevel="0" collapsed="false">
      <c r="A86" s="13"/>
      <c r="B86" s="63"/>
      <c r="C86" s="64" t="str">
        <f aca="false">IF(B86="","",TEXT(B86,"DDD"))</f>
        <v/>
      </c>
      <c r="D86" s="32"/>
      <c r="E86" s="32"/>
      <c r="F86" s="33"/>
      <c r="G86" s="65"/>
      <c r="H86" s="32"/>
      <c r="I86" s="66" t="n">
        <v>0</v>
      </c>
      <c r="J86" s="67"/>
      <c r="K86" s="68"/>
      <c r="L86" s="68"/>
      <c r="M86" s="68"/>
      <c r="N86" s="68"/>
      <c r="O86" s="68"/>
      <c r="P86" s="33"/>
      <c r="Q86" s="68"/>
      <c r="R86" s="68"/>
      <c r="S86" s="13"/>
    </row>
    <row r="87" customFormat="false" ht="27.75" hidden="false" customHeight="true" outlineLevel="0" collapsed="false">
      <c r="A87" s="5"/>
      <c r="B87" s="69"/>
      <c r="C87" s="64" t="str">
        <f aca="false">IF(B87="","",TEXT(B87,"DDD"))</f>
        <v/>
      </c>
      <c r="D87" s="36"/>
      <c r="E87" s="36"/>
      <c r="F87" s="4"/>
      <c r="G87" s="70"/>
      <c r="H87" s="36"/>
      <c r="I87" s="66" t="n">
        <v>0</v>
      </c>
      <c r="J87" s="71"/>
      <c r="K87" s="72"/>
      <c r="L87" s="72"/>
      <c r="M87" s="72"/>
      <c r="N87" s="72"/>
      <c r="O87" s="72"/>
      <c r="P87" s="4"/>
      <c r="Q87" s="72"/>
      <c r="R87" s="72"/>
      <c r="S87" s="5"/>
    </row>
    <row r="88" customFormat="false" ht="27.75" hidden="false" customHeight="true" outlineLevel="0" collapsed="false">
      <c r="A88" s="13"/>
      <c r="B88" s="63"/>
      <c r="C88" s="64" t="str">
        <f aca="false">IF(B88="","",TEXT(B88,"DDD"))</f>
        <v/>
      </c>
      <c r="D88" s="32"/>
      <c r="E88" s="32"/>
      <c r="F88" s="33"/>
      <c r="G88" s="65"/>
      <c r="H88" s="32"/>
      <c r="I88" s="66" t="n">
        <v>0</v>
      </c>
      <c r="J88" s="67"/>
      <c r="K88" s="68"/>
      <c r="L88" s="68"/>
      <c r="M88" s="68"/>
      <c r="N88" s="68"/>
      <c r="O88" s="68"/>
      <c r="P88" s="33"/>
      <c r="Q88" s="68"/>
      <c r="R88" s="68"/>
      <c r="S88" s="13"/>
    </row>
    <row r="89" customFormat="false" ht="27.75" hidden="false" customHeight="true" outlineLevel="0" collapsed="false">
      <c r="A89" s="5"/>
      <c r="B89" s="69"/>
      <c r="C89" s="64" t="str">
        <f aca="false">IF(B89="","",TEXT(B89,"DDD"))</f>
        <v/>
      </c>
      <c r="D89" s="36"/>
      <c r="E89" s="36"/>
      <c r="F89" s="4"/>
      <c r="G89" s="70"/>
      <c r="H89" s="36"/>
      <c r="I89" s="66" t="n">
        <v>0</v>
      </c>
      <c r="J89" s="71"/>
      <c r="K89" s="72"/>
      <c r="L89" s="72"/>
      <c r="M89" s="72"/>
      <c r="N89" s="72"/>
      <c r="O89" s="72"/>
      <c r="P89" s="4"/>
      <c r="Q89" s="72"/>
      <c r="R89" s="72"/>
      <c r="S89" s="5"/>
    </row>
    <row r="90" customFormat="false" ht="27.75" hidden="false" customHeight="true" outlineLevel="0" collapsed="false">
      <c r="A90" s="13"/>
      <c r="B90" s="63"/>
      <c r="C90" s="64" t="str">
        <f aca="false">IF(B90="","",TEXT(B90,"DDD"))</f>
        <v/>
      </c>
      <c r="D90" s="32"/>
      <c r="E90" s="32"/>
      <c r="F90" s="33"/>
      <c r="G90" s="65"/>
      <c r="H90" s="32"/>
      <c r="I90" s="66" t="n">
        <v>0</v>
      </c>
      <c r="J90" s="67"/>
      <c r="K90" s="68"/>
      <c r="L90" s="68"/>
      <c r="M90" s="68"/>
      <c r="N90" s="68"/>
      <c r="O90" s="68"/>
      <c r="P90" s="33"/>
      <c r="Q90" s="68"/>
      <c r="R90" s="68"/>
      <c r="S90" s="13"/>
    </row>
    <row r="91" customFormat="false" ht="27.75" hidden="false" customHeight="true" outlineLevel="0" collapsed="false">
      <c r="A91" s="5"/>
      <c r="B91" s="69"/>
      <c r="C91" s="64" t="str">
        <f aca="false">IF(B91="","",TEXT(B91,"DDD"))</f>
        <v/>
      </c>
      <c r="D91" s="36"/>
      <c r="E91" s="36"/>
      <c r="F91" s="4"/>
      <c r="G91" s="70"/>
      <c r="H91" s="36"/>
      <c r="I91" s="66" t="n">
        <v>0</v>
      </c>
      <c r="J91" s="71"/>
      <c r="K91" s="72"/>
      <c r="L91" s="72"/>
      <c r="M91" s="72"/>
      <c r="N91" s="72"/>
      <c r="O91" s="72"/>
      <c r="P91" s="4"/>
      <c r="Q91" s="72"/>
      <c r="R91" s="72"/>
      <c r="S91" s="5"/>
    </row>
    <row r="92" customFormat="false" ht="27.75" hidden="false" customHeight="true" outlineLevel="0" collapsed="false">
      <c r="A92" s="13"/>
      <c r="B92" s="63"/>
      <c r="C92" s="64" t="str">
        <f aca="false">IF(B92="","",TEXT(B92,"DDD"))</f>
        <v/>
      </c>
      <c r="D92" s="32"/>
      <c r="E92" s="32"/>
      <c r="F92" s="33"/>
      <c r="G92" s="65"/>
      <c r="H92" s="32"/>
      <c r="I92" s="66" t="n">
        <v>0</v>
      </c>
      <c r="J92" s="67"/>
      <c r="K92" s="68"/>
      <c r="L92" s="68"/>
      <c r="M92" s="68"/>
      <c r="N92" s="68"/>
      <c r="O92" s="68"/>
      <c r="P92" s="33"/>
      <c r="Q92" s="68"/>
      <c r="R92" s="68"/>
      <c r="S92" s="13"/>
    </row>
    <row r="93" customFormat="false" ht="27.75" hidden="false" customHeight="true" outlineLevel="0" collapsed="false">
      <c r="A93" s="5"/>
      <c r="B93" s="69"/>
      <c r="C93" s="64" t="str">
        <f aca="false">IF(B93="","",TEXT(B93,"DDD"))</f>
        <v/>
      </c>
      <c r="D93" s="36"/>
      <c r="E93" s="36"/>
      <c r="F93" s="4"/>
      <c r="G93" s="70"/>
      <c r="H93" s="36"/>
      <c r="I93" s="66" t="n">
        <v>0</v>
      </c>
      <c r="J93" s="71"/>
      <c r="K93" s="72"/>
      <c r="L93" s="72"/>
      <c r="M93" s="72"/>
      <c r="N93" s="72"/>
      <c r="O93" s="72"/>
      <c r="P93" s="4"/>
      <c r="Q93" s="72"/>
      <c r="R93" s="72"/>
      <c r="S93" s="5"/>
    </row>
    <row r="94" customFormat="false" ht="27.75" hidden="false" customHeight="true" outlineLevel="0" collapsed="false">
      <c r="A94" s="13"/>
      <c r="B94" s="63"/>
      <c r="C94" s="64" t="str">
        <f aca="false">IF(B94="","",TEXT(B94,"DDD"))</f>
        <v/>
      </c>
      <c r="D94" s="32"/>
      <c r="E94" s="32"/>
      <c r="F94" s="33"/>
      <c r="G94" s="65"/>
      <c r="H94" s="32"/>
      <c r="I94" s="66" t="n">
        <v>0</v>
      </c>
      <c r="J94" s="67"/>
      <c r="K94" s="68"/>
      <c r="L94" s="68"/>
      <c r="M94" s="68"/>
      <c r="N94" s="68"/>
      <c r="O94" s="68"/>
      <c r="P94" s="33"/>
      <c r="Q94" s="68"/>
      <c r="R94" s="68"/>
      <c r="S94" s="13"/>
    </row>
    <row r="95" customFormat="false" ht="27.75" hidden="false" customHeight="true" outlineLevel="0" collapsed="false">
      <c r="A95" s="5"/>
      <c r="B95" s="69"/>
      <c r="C95" s="64" t="str">
        <f aca="false">IF(B95="","",TEXT(B95,"DDD"))</f>
        <v/>
      </c>
      <c r="D95" s="36"/>
      <c r="E95" s="36"/>
      <c r="F95" s="4"/>
      <c r="G95" s="70"/>
      <c r="H95" s="36"/>
      <c r="I95" s="66" t="n">
        <v>0</v>
      </c>
      <c r="J95" s="71"/>
      <c r="K95" s="72"/>
      <c r="L95" s="72"/>
      <c r="M95" s="72"/>
      <c r="N95" s="72"/>
      <c r="O95" s="72"/>
      <c r="P95" s="4"/>
      <c r="Q95" s="72"/>
      <c r="R95" s="72"/>
      <c r="S95" s="5"/>
    </row>
    <row r="96" customFormat="false" ht="27.75" hidden="false" customHeight="true" outlineLevel="0" collapsed="false">
      <c r="A96" s="13"/>
      <c r="B96" s="63"/>
      <c r="C96" s="64" t="str">
        <f aca="false">IF(B96="","",TEXT(B96,"DDD"))</f>
        <v/>
      </c>
      <c r="D96" s="32"/>
      <c r="E96" s="32"/>
      <c r="F96" s="33"/>
      <c r="G96" s="65"/>
      <c r="H96" s="32"/>
      <c r="I96" s="66" t="n">
        <v>0</v>
      </c>
      <c r="J96" s="67"/>
      <c r="K96" s="68"/>
      <c r="L96" s="68"/>
      <c r="M96" s="68"/>
      <c r="N96" s="68"/>
      <c r="O96" s="68"/>
      <c r="P96" s="33"/>
      <c r="Q96" s="68"/>
      <c r="R96" s="68"/>
      <c r="S96" s="13"/>
    </row>
    <row r="97" customFormat="false" ht="27.75" hidden="false" customHeight="true" outlineLevel="0" collapsed="false">
      <c r="A97" s="5"/>
      <c r="B97" s="69"/>
      <c r="C97" s="64" t="str">
        <f aca="false">IF(B97="","",TEXT(B97,"DDD"))</f>
        <v/>
      </c>
      <c r="D97" s="36"/>
      <c r="E97" s="36"/>
      <c r="F97" s="4"/>
      <c r="G97" s="70"/>
      <c r="H97" s="36"/>
      <c r="I97" s="66" t="n">
        <v>0</v>
      </c>
      <c r="J97" s="71"/>
      <c r="K97" s="72"/>
      <c r="L97" s="72"/>
      <c r="M97" s="72"/>
      <c r="N97" s="72"/>
      <c r="O97" s="72"/>
      <c r="P97" s="4"/>
      <c r="Q97" s="72"/>
      <c r="R97" s="72"/>
      <c r="S97" s="5"/>
    </row>
    <row r="98" customFormat="false" ht="27.75" hidden="false" customHeight="true" outlineLevel="0" collapsed="false">
      <c r="A98" s="13"/>
      <c r="B98" s="63"/>
      <c r="C98" s="64" t="str">
        <f aca="false">IF(B98="","",TEXT(B98,"DDD"))</f>
        <v/>
      </c>
      <c r="D98" s="32"/>
      <c r="E98" s="32"/>
      <c r="F98" s="33"/>
      <c r="G98" s="65"/>
      <c r="H98" s="32"/>
      <c r="I98" s="66" t="n">
        <v>0</v>
      </c>
      <c r="J98" s="67"/>
      <c r="K98" s="68"/>
      <c r="L98" s="68"/>
      <c r="M98" s="68"/>
      <c r="N98" s="68"/>
      <c r="O98" s="68"/>
      <c r="P98" s="33"/>
      <c r="Q98" s="68"/>
      <c r="R98" s="68"/>
      <c r="S98" s="13"/>
    </row>
    <row r="99" customFormat="false" ht="27.75" hidden="false" customHeight="true" outlineLevel="0" collapsed="false">
      <c r="A99" s="5"/>
      <c r="B99" s="69"/>
      <c r="C99" s="64" t="str">
        <f aca="false">IF(B99="","",TEXT(B99,"DDD"))</f>
        <v/>
      </c>
      <c r="D99" s="36"/>
      <c r="E99" s="36"/>
      <c r="F99" s="4"/>
      <c r="G99" s="70"/>
      <c r="H99" s="36"/>
      <c r="I99" s="66" t="n">
        <v>0</v>
      </c>
      <c r="J99" s="71"/>
      <c r="K99" s="72"/>
      <c r="L99" s="72"/>
      <c r="M99" s="72"/>
      <c r="N99" s="72"/>
      <c r="O99" s="72"/>
      <c r="P99" s="4"/>
      <c r="Q99" s="72"/>
      <c r="R99" s="72"/>
      <c r="S99" s="5"/>
    </row>
    <row r="100" customFormat="false" ht="27.75" hidden="false" customHeight="true" outlineLevel="0" collapsed="false">
      <c r="A100" s="13"/>
      <c r="B100" s="63"/>
      <c r="C100" s="64" t="str">
        <f aca="false">IF(B100="","",TEXT(B100,"DDD"))</f>
        <v/>
      </c>
      <c r="D100" s="32"/>
      <c r="E100" s="32"/>
      <c r="F100" s="33"/>
      <c r="G100" s="65"/>
      <c r="H100" s="32"/>
      <c r="I100" s="66" t="n">
        <v>0</v>
      </c>
      <c r="J100" s="67"/>
      <c r="K100" s="68"/>
      <c r="L100" s="68"/>
      <c r="M100" s="68"/>
      <c r="N100" s="68"/>
      <c r="O100" s="68"/>
      <c r="P100" s="33"/>
      <c r="Q100" s="68"/>
      <c r="R100" s="68"/>
      <c r="S100" s="13"/>
    </row>
    <row r="101" customFormat="false" ht="27.75" hidden="false" customHeight="true" outlineLevel="0" collapsed="false">
      <c r="A101" s="5"/>
      <c r="B101" s="69"/>
      <c r="C101" s="64" t="str">
        <f aca="false">IF(B101="","",TEXT(B101,"DDD"))</f>
        <v/>
      </c>
      <c r="D101" s="36"/>
      <c r="E101" s="36"/>
      <c r="F101" s="4"/>
      <c r="G101" s="70"/>
      <c r="H101" s="36"/>
      <c r="I101" s="66" t="n">
        <v>0</v>
      </c>
      <c r="J101" s="71"/>
      <c r="K101" s="72"/>
      <c r="L101" s="72"/>
      <c r="M101" s="72"/>
      <c r="N101" s="72"/>
      <c r="O101" s="72"/>
      <c r="P101" s="4"/>
      <c r="Q101" s="72"/>
      <c r="R101" s="72"/>
      <c r="S101" s="5"/>
    </row>
    <row r="102" customFormat="false" ht="27.75" hidden="false" customHeight="true" outlineLevel="0" collapsed="false">
      <c r="A102" s="13"/>
      <c r="B102" s="63"/>
      <c r="C102" s="64" t="str">
        <f aca="false">IF(B102="","",TEXT(B102,"DDD"))</f>
        <v/>
      </c>
      <c r="D102" s="32"/>
      <c r="E102" s="32"/>
      <c r="F102" s="33"/>
      <c r="G102" s="65"/>
      <c r="H102" s="32"/>
      <c r="I102" s="66" t="n">
        <v>0</v>
      </c>
      <c r="J102" s="67"/>
      <c r="K102" s="68"/>
      <c r="L102" s="68"/>
      <c r="M102" s="68"/>
      <c r="N102" s="68"/>
      <c r="O102" s="68"/>
      <c r="P102" s="33"/>
      <c r="Q102" s="68"/>
      <c r="R102" s="68"/>
      <c r="S102" s="13"/>
    </row>
    <row r="103" customFormat="false" ht="27.75" hidden="false" customHeight="true" outlineLevel="0" collapsed="false">
      <c r="A103" s="5"/>
      <c r="B103" s="69"/>
      <c r="C103" s="64" t="str">
        <f aca="false">IF(B103="","",TEXT(B103,"DDD"))</f>
        <v/>
      </c>
      <c r="D103" s="36"/>
      <c r="E103" s="36"/>
      <c r="F103" s="4"/>
      <c r="G103" s="70"/>
      <c r="H103" s="36"/>
      <c r="I103" s="66" t="n">
        <v>0</v>
      </c>
      <c r="J103" s="71"/>
      <c r="K103" s="72"/>
      <c r="L103" s="72"/>
      <c r="M103" s="72"/>
      <c r="N103" s="72"/>
      <c r="O103" s="72"/>
      <c r="P103" s="4"/>
      <c r="Q103" s="72"/>
      <c r="R103" s="72"/>
      <c r="S103" s="5"/>
    </row>
    <row r="104" customFormat="false" ht="27.75" hidden="false" customHeight="true" outlineLevel="0" collapsed="false">
      <c r="A104" s="13"/>
      <c r="B104" s="63"/>
      <c r="C104" s="64" t="str">
        <f aca="false">IF(B104="","",TEXT(B104,"DDD"))</f>
        <v/>
      </c>
      <c r="D104" s="32"/>
      <c r="E104" s="32"/>
      <c r="F104" s="33"/>
      <c r="G104" s="65"/>
      <c r="H104" s="32"/>
      <c r="I104" s="66" t="n">
        <v>0</v>
      </c>
      <c r="J104" s="67"/>
      <c r="K104" s="68"/>
      <c r="L104" s="68"/>
      <c r="M104" s="68"/>
      <c r="N104" s="68"/>
      <c r="O104" s="68"/>
      <c r="P104" s="33"/>
      <c r="Q104" s="68"/>
      <c r="R104" s="68"/>
      <c r="S104" s="13"/>
    </row>
    <row r="105" customFormat="false" ht="27.75" hidden="false" customHeight="true" outlineLevel="0" collapsed="false">
      <c r="A105" s="5"/>
      <c r="B105" s="69"/>
      <c r="C105" s="64" t="str">
        <f aca="false">IF(B105="","",TEXT(B105,"DDD"))</f>
        <v/>
      </c>
      <c r="D105" s="36"/>
      <c r="E105" s="36"/>
      <c r="F105" s="4"/>
      <c r="G105" s="70"/>
      <c r="H105" s="36"/>
      <c r="I105" s="66" t="n">
        <v>0</v>
      </c>
      <c r="J105" s="71"/>
      <c r="K105" s="72"/>
      <c r="L105" s="72"/>
      <c r="M105" s="72"/>
      <c r="N105" s="72"/>
      <c r="O105" s="72"/>
      <c r="P105" s="4"/>
      <c r="Q105" s="72"/>
      <c r="R105" s="72"/>
      <c r="S105" s="5"/>
    </row>
    <row r="106" customFormat="false" ht="27.75" hidden="false" customHeight="true" outlineLevel="0" collapsed="false">
      <c r="A106" s="13"/>
      <c r="B106" s="63"/>
      <c r="C106" s="64" t="str">
        <f aca="false">IF(B106="","",TEXT(B106,"DDD"))</f>
        <v/>
      </c>
      <c r="D106" s="32"/>
      <c r="E106" s="32"/>
      <c r="F106" s="33"/>
      <c r="G106" s="65"/>
      <c r="H106" s="32"/>
      <c r="I106" s="66" t="n">
        <v>0</v>
      </c>
      <c r="J106" s="67"/>
      <c r="K106" s="68"/>
      <c r="L106" s="68"/>
      <c r="M106" s="68"/>
      <c r="N106" s="68"/>
      <c r="O106" s="68"/>
      <c r="P106" s="33"/>
      <c r="Q106" s="68"/>
      <c r="R106" s="68"/>
      <c r="S106" s="13"/>
    </row>
    <row r="107" customFormat="false" ht="27.75" hidden="false" customHeight="true" outlineLevel="0" collapsed="false">
      <c r="A107" s="5"/>
      <c r="B107" s="69"/>
      <c r="C107" s="64" t="str">
        <f aca="false">IF(B107="","",TEXT(B107,"DDD"))</f>
        <v/>
      </c>
      <c r="D107" s="36"/>
      <c r="E107" s="36"/>
      <c r="F107" s="4"/>
      <c r="G107" s="70"/>
      <c r="H107" s="36"/>
      <c r="I107" s="66" t="n">
        <v>0</v>
      </c>
      <c r="J107" s="71"/>
      <c r="K107" s="72"/>
      <c r="L107" s="72"/>
      <c r="M107" s="72"/>
      <c r="N107" s="72"/>
      <c r="O107" s="72"/>
      <c r="P107" s="4"/>
      <c r="Q107" s="72"/>
      <c r="R107" s="72"/>
      <c r="S107" s="5"/>
    </row>
    <row r="108" customFormat="false" ht="27.75" hidden="false" customHeight="true" outlineLevel="0" collapsed="false">
      <c r="A108" s="13"/>
      <c r="B108" s="63"/>
      <c r="C108" s="64" t="str">
        <f aca="false">IF(B108="","",TEXT(B108,"DDD"))</f>
        <v/>
      </c>
      <c r="D108" s="32"/>
      <c r="E108" s="32"/>
      <c r="F108" s="33"/>
      <c r="G108" s="65"/>
      <c r="H108" s="32"/>
      <c r="I108" s="66" t="n">
        <v>0</v>
      </c>
      <c r="J108" s="67"/>
      <c r="K108" s="68"/>
      <c r="L108" s="68"/>
      <c r="M108" s="68"/>
      <c r="N108" s="68"/>
      <c r="O108" s="68"/>
      <c r="P108" s="33"/>
      <c r="Q108" s="68"/>
      <c r="R108" s="68"/>
      <c r="S108" s="13"/>
    </row>
    <row r="109" customFormat="false" ht="27.75" hidden="false" customHeight="true" outlineLevel="0" collapsed="false">
      <c r="A109" s="5"/>
      <c r="B109" s="69"/>
      <c r="C109" s="64" t="str">
        <f aca="false">IF(B109="","",TEXT(B109,"DDD"))</f>
        <v/>
      </c>
      <c r="D109" s="36"/>
      <c r="E109" s="36"/>
      <c r="F109" s="4"/>
      <c r="G109" s="70"/>
      <c r="H109" s="36"/>
      <c r="I109" s="66" t="n">
        <v>0</v>
      </c>
      <c r="J109" s="71"/>
      <c r="K109" s="72"/>
      <c r="L109" s="72"/>
      <c r="M109" s="72"/>
      <c r="N109" s="72"/>
      <c r="O109" s="72"/>
      <c r="P109" s="4"/>
      <c r="Q109" s="72"/>
      <c r="R109" s="72"/>
      <c r="S109" s="5"/>
    </row>
    <row r="110" customFormat="false" ht="27.75" hidden="false" customHeight="true" outlineLevel="0" collapsed="false">
      <c r="A110" s="13"/>
      <c r="B110" s="63"/>
      <c r="C110" s="64" t="str">
        <f aca="false">IF(B110="","",TEXT(B110,"DDD"))</f>
        <v/>
      </c>
      <c r="D110" s="32"/>
      <c r="E110" s="32"/>
      <c r="F110" s="33"/>
      <c r="G110" s="65"/>
      <c r="H110" s="32"/>
      <c r="I110" s="66" t="n">
        <v>0</v>
      </c>
      <c r="J110" s="67"/>
      <c r="K110" s="68"/>
      <c r="L110" s="68"/>
      <c r="M110" s="68"/>
      <c r="N110" s="68"/>
      <c r="O110" s="68"/>
      <c r="P110" s="33"/>
      <c r="Q110" s="68"/>
      <c r="R110" s="68"/>
      <c r="S110" s="13"/>
    </row>
    <row r="111" customFormat="false" ht="27.75" hidden="false" customHeight="true" outlineLevel="0" collapsed="false">
      <c r="A111" s="5"/>
      <c r="B111" s="69"/>
      <c r="C111" s="64" t="str">
        <f aca="false">IF(B111="","",TEXT(B111,"DDD"))</f>
        <v/>
      </c>
      <c r="D111" s="36"/>
      <c r="E111" s="36"/>
      <c r="F111" s="4"/>
      <c r="G111" s="70"/>
      <c r="H111" s="36"/>
      <c r="I111" s="66" t="n">
        <v>0</v>
      </c>
      <c r="J111" s="71"/>
      <c r="K111" s="72"/>
      <c r="L111" s="72"/>
      <c r="M111" s="72"/>
      <c r="N111" s="72"/>
      <c r="O111" s="72"/>
      <c r="P111" s="4"/>
      <c r="Q111" s="72"/>
      <c r="R111" s="72"/>
      <c r="S111" s="5"/>
    </row>
    <row r="112" customFormat="false" ht="27.75" hidden="false" customHeight="true" outlineLevel="0" collapsed="false">
      <c r="A112" s="13"/>
      <c r="B112" s="63"/>
      <c r="C112" s="64" t="str">
        <f aca="false">IF(B112="","",TEXT(B112,"DDD"))</f>
        <v/>
      </c>
      <c r="D112" s="32"/>
      <c r="E112" s="32"/>
      <c r="F112" s="33"/>
      <c r="G112" s="65"/>
      <c r="H112" s="32"/>
      <c r="I112" s="66" t="n">
        <v>0</v>
      </c>
      <c r="J112" s="67"/>
      <c r="K112" s="68"/>
      <c r="L112" s="68"/>
      <c r="M112" s="68"/>
      <c r="N112" s="68"/>
      <c r="O112" s="68"/>
      <c r="P112" s="33"/>
      <c r="Q112" s="68"/>
      <c r="R112" s="68"/>
      <c r="S112" s="13"/>
    </row>
    <row r="113" customFormat="false" ht="27.75" hidden="false" customHeight="true" outlineLevel="0" collapsed="false">
      <c r="A113" s="5"/>
      <c r="B113" s="69"/>
      <c r="C113" s="64" t="str">
        <f aca="false">IF(B113="","",TEXT(B113,"DDD"))</f>
        <v/>
      </c>
      <c r="D113" s="36"/>
      <c r="E113" s="36"/>
      <c r="F113" s="4"/>
      <c r="G113" s="70"/>
      <c r="H113" s="36"/>
      <c r="I113" s="66" t="n">
        <v>0</v>
      </c>
      <c r="J113" s="71"/>
      <c r="K113" s="72"/>
      <c r="L113" s="72"/>
      <c r="M113" s="72"/>
      <c r="N113" s="72"/>
      <c r="O113" s="72"/>
      <c r="P113" s="4"/>
      <c r="Q113" s="72"/>
      <c r="R113" s="72"/>
      <c r="S113" s="5"/>
    </row>
    <row r="114" customFormat="false" ht="27.75" hidden="false" customHeight="true" outlineLevel="0" collapsed="false">
      <c r="A114" s="13"/>
      <c r="B114" s="63"/>
      <c r="C114" s="64" t="str">
        <f aca="false">IF(B114="","",TEXT(B114,"DDD"))</f>
        <v/>
      </c>
      <c r="D114" s="32"/>
      <c r="E114" s="32"/>
      <c r="F114" s="33"/>
      <c r="G114" s="65"/>
      <c r="H114" s="32"/>
      <c r="I114" s="66" t="n">
        <v>0</v>
      </c>
      <c r="J114" s="67"/>
      <c r="K114" s="68"/>
      <c r="L114" s="68"/>
      <c r="M114" s="68"/>
      <c r="N114" s="68"/>
      <c r="O114" s="68"/>
      <c r="P114" s="33"/>
      <c r="Q114" s="68"/>
      <c r="R114" s="68"/>
      <c r="S114" s="13"/>
    </row>
    <row r="115" customFormat="false" ht="27.75" hidden="false" customHeight="true" outlineLevel="0" collapsed="false">
      <c r="A115" s="5"/>
      <c r="B115" s="69"/>
      <c r="C115" s="64" t="str">
        <f aca="false">IF(B115="","",TEXT(B115,"DDD"))</f>
        <v/>
      </c>
      <c r="D115" s="36"/>
      <c r="E115" s="36"/>
      <c r="F115" s="4"/>
      <c r="G115" s="70"/>
      <c r="H115" s="36"/>
      <c r="I115" s="66" t="n">
        <v>0</v>
      </c>
      <c r="J115" s="71"/>
      <c r="K115" s="72"/>
      <c r="L115" s="72"/>
      <c r="M115" s="72"/>
      <c r="N115" s="72"/>
      <c r="O115" s="72"/>
      <c r="P115" s="4"/>
      <c r="Q115" s="72"/>
      <c r="R115" s="72"/>
      <c r="S115" s="5"/>
    </row>
    <row r="116" customFormat="false" ht="27.75" hidden="false" customHeight="true" outlineLevel="0" collapsed="false">
      <c r="A116" s="13"/>
      <c r="B116" s="63"/>
      <c r="C116" s="64" t="str">
        <f aca="false">IF(B116="","",TEXT(B116,"DDD"))</f>
        <v/>
      </c>
      <c r="D116" s="32"/>
      <c r="E116" s="32"/>
      <c r="F116" s="33"/>
      <c r="G116" s="65"/>
      <c r="H116" s="32"/>
      <c r="I116" s="66" t="n">
        <v>0</v>
      </c>
      <c r="J116" s="67"/>
      <c r="K116" s="68"/>
      <c r="L116" s="68"/>
      <c r="M116" s="68"/>
      <c r="N116" s="68"/>
      <c r="O116" s="68"/>
      <c r="P116" s="33"/>
      <c r="Q116" s="68"/>
      <c r="R116" s="68"/>
      <c r="S116" s="13"/>
    </row>
    <row r="117" customFormat="false" ht="27.75" hidden="false" customHeight="true" outlineLevel="0" collapsed="false">
      <c r="A117" s="5"/>
      <c r="B117" s="69"/>
      <c r="C117" s="64" t="str">
        <f aca="false">IF(B117="","",TEXT(B117,"DDD"))</f>
        <v/>
      </c>
      <c r="D117" s="36"/>
      <c r="E117" s="36"/>
      <c r="F117" s="4"/>
      <c r="G117" s="70"/>
      <c r="H117" s="36"/>
      <c r="I117" s="66" t="n">
        <v>0</v>
      </c>
      <c r="J117" s="71"/>
      <c r="K117" s="72"/>
      <c r="L117" s="72"/>
      <c r="M117" s="72"/>
      <c r="N117" s="72"/>
      <c r="O117" s="72"/>
      <c r="P117" s="4"/>
      <c r="Q117" s="72"/>
      <c r="R117" s="72"/>
      <c r="S117" s="5"/>
    </row>
    <row r="118" customFormat="false" ht="27.75" hidden="false" customHeight="true" outlineLevel="0" collapsed="false">
      <c r="A118" s="13"/>
      <c r="B118" s="63"/>
      <c r="C118" s="64" t="str">
        <f aca="false">IF(B118="","",TEXT(B118,"DDD"))</f>
        <v/>
      </c>
      <c r="D118" s="32"/>
      <c r="E118" s="32"/>
      <c r="F118" s="33"/>
      <c r="G118" s="65"/>
      <c r="H118" s="32"/>
      <c r="I118" s="66" t="n">
        <v>0</v>
      </c>
      <c r="J118" s="67"/>
      <c r="K118" s="68"/>
      <c r="L118" s="68"/>
      <c r="M118" s="68"/>
      <c r="N118" s="68"/>
      <c r="O118" s="68"/>
      <c r="P118" s="33"/>
      <c r="Q118" s="68"/>
      <c r="R118" s="68"/>
      <c r="S118" s="13"/>
    </row>
    <row r="119" customFormat="false" ht="27.75" hidden="false" customHeight="true" outlineLevel="0" collapsed="false">
      <c r="A119" s="5"/>
      <c r="B119" s="69"/>
      <c r="C119" s="64" t="str">
        <f aca="false">IF(B119="","",TEXT(B119,"DDD"))</f>
        <v/>
      </c>
      <c r="D119" s="36"/>
      <c r="E119" s="36"/>
      <c r="F119" s="4"/>
      <c r="G119" s="70"/>
      <c r="H119" s="36"/>
      <c r="I119" s="66" t="n">
        <v>0</v>
      </c>
      <c r="J119" s="71"/>
      <c r="K119" s="72"/>
      <c r="L119" s="72"/>
      <c r="M119" s="72"/>
      <c r="N119" s="72"/>
      <c r="O119" s="72"/>
      <c r="P119" s="4"/>
      <c r="Q119" s="72"/>
      <c r="R119" s="72"/>
      <c r="S119" s="5"/>
    </row>
    <row r="120" customFormat="false" ht="27.75" hidden="false" customHeight="true" outlineLevel="0" collapsed="false">
      <c r="A120" s="13"/>
      <c r="B120" s="63"/>
      <c r="C120" s="64" t="str">
        <f aca="false">IF(B120="","",TEXT(B120,"DDD"))</f>
        <v/>
      </c>
      <c r="D120" s="32"/>
      <c r="E120" s="32"/>
      <c r="F120" s="33"/>
      <c r="G120" s="65"/>
      <c r="H120" s="32"/>
      <c r="I120" s="66" t="n">
        <v>0</v>
      </c>
      <c r="J120" s="67"/>
      <c r="K120" s="68"/>
      <c r="L120" s="68"/>
      <c r="M120" s="68"/>
      <c r="N120" s="68"/>
      <c r="O120" s="68"/>
      <c r="P120" s="33"/>
      <c r="Q120" s="68"/>
      <c r="R120" s="68"/>
      <c r="S120" s="13"/>
    </row>
    <row r="121" customFormat="false" ht="27.75" hidden="false" customHeight="true" outlineLevel="0" collapsed="false">
      <c r="A121" s="5"/>
      <c r="B121" s="69"/>
      <c r="C121" s="64" t="str">
        <f aca="false">IF(B121="","",TEXT(B121,"DDD"))</f>
        <v/>
      </c>
      <c r="D121" s="36"/>
      <c r="E121" s="36"/>
      <c r="F121" s="4"/>
      <c r="G121" s="70"/>
      <c r="H121" s="36"/>
      <c r="I121" s="66" t="n">
        <v>0</v>
      </c>
      <c r="J121" s="71"/>
      <c r="K121" s="72"/>
      <c r="L121" s="72"/>
      <c r="M121" s="72"/>
      <c r="N121" s="72"/>
      <c r="O121" s="72"/>
      <c r="P121" s="4"/>
      <c r="Q121" s="72"/>
      <c r="R121" s="72"/>
      <c r="S121" s="5"/>
    </row>
    <row r="122" customFormat="false" ht="27.75" hidden="false" customHeight="true" outlineLevel="0" collapsed="false">
      <c r="A122" s="13"/>
      <c r="B122" s="63"/>
      <c r="C122" s="64" t="str">
        <f aca="false">IF(B122="","",TEXT(B122,"DDD"))</f>
        <v/>
      </c>
      <c r="D122" s="32"/>
      <c r="E122" s="32"/>
      <c r="F122" s="33"/>
      <c r="G122" s="65"/>
      <c r="H122" s="32"/>
      <c r="I122" s="66" t="n">
        <v>0</v>
      </c>
      <c r="J122" s="67"/>
      <c r="K122" s="68"/>
      <c r="L122" s="68"/>
      <c r="M122" s="68"/>
      <c r="N122" s="68"/>
      <c r="O122" s="68"/>
      <c r="P122" s="33"/>
      <c r="Q122" s="68"/>
      <c r="R122" s="68"/>
      <c r="S122" s="13"/>
    </row>
    <row r="123" customFormat="false" ht="27.75" hidden="false" customHeight="true" outlineLevel="0" collapsed="false">
      <c r="A123" s="5"/>
      <c r="B123" s="69"/>
      <c r="C123" s="64" t="str">
        <f aca="false">IF(B123="","",TEXT(B123,"DDD"))</f>
        <v/>
      </c>
      <c r="D123" s="36"/>
      <c r="E123" s="36"/>
      <c r="F123" s="4"/>
      <c r="G123" s="70"/>
      <c r="H123" s="36"/>
      <c r="I123" s="66" t="n">
        <v>0</v>
      </c>
      <c r="J123" s="71"/>
      <c r="K123" s="72"/>
      <c r="L123" s="72"/>
      <c r="M123" s="72"/>
      <c r="N123" s="72"/>
      <c r="O123" s="72"/>
      <c r="P123" s="4"/>
      <c r="Q123" s="72"/>
      <c r="R123" s="72"/>
      <c r="S123" s="5"/>
    </row>
    <row r="124" customFormat="false" ht="27.75" hidden="false" customHeight="true" outlineLevel="0" collapsed="false">
      <c r="A124" s="13"/>
      <c r="B124" s="63"/>
      <c r="C124" s="64" t="str">
        <f aca="false">IF(B124="","",TEXT(B124,"DDD"))</f>
        <v/>
      </c>
      <c r="D124" s="32"/>
      <c r="E124" s="32"/>
      <c r="F124" s="33"/>
      <c r="G124" s="65"/>
      <c r="H124" s="32"/>
      <c r="I124" s="66" t="n">
        <v>0</v>
      </c>
      <c r="J124" s="67"/>
      <c r="K124" s="68"/>
      <c r="L124" s="68"/>
      <c r="M124" s="68"/>
      <c r="N124" s="68"/>
      <c r="O124" s="68"/>
      <c r="P124" s="33"/>
      <c r="Q124" s="68"/>
      <c r="R124" s="68"/>
      <c r="S124" s="13"/>
    </row>
    <row r="125" customFormat="false" ht="27.75" hidden="false" customHeight="true" outlineLevel="0" collapsed="false">
      <c r="A125" s="5"/>
      <c r="B125" s="69"/>
      <c r="C125" s="64" t="str">
        <f aca="false">IF(B125="","",TEXT(B125,"DDD"))</f>
        <v/>
      </c>
      <c r="D125" s="36"/>
      <c r="E125" s="36"/>
      <c r="F125" s="4"/>
      <c r="G125" s="70"/>
      <c r="H125" s="36"/>
      <c r="I125" s="66" t="n">
        <v>0</v>
      </c>
      <c r="J125" s="71"/>
      <c r="K125" s="72"/>
      <c r="L125" s="72"/>
      <c r="M125" s="72"/>
      <c r="N125" s="72"/>
      <c r="O125" s="72"/>
      <c r="P125" s="4"/>
      <c r="Q125" s="72"/>
      <c r="R125" s="72"/>
      <c r="S125" s="5"/>
    </row>
    <row r="126" customFormat="false" ht="27.75" hidden="false" customHeight="true" outlineLevel="0" collapsed="false">
      <c r="A126" s="13"/>
      <c r="B126" s="63"/>
      <c r="C126" s="64" t="str">
        <f aca="false">IF(B126="","",TEXT(B126,"DDD"))</f>
        <v/>
      </c>
      <c r="D126" s="32"/>
      <c r="E126" s="32"/>
      <c r="F126" s="33"/>
      <c r="G126" s="65"/>
      <c r="H126" s="32"/>
      <c r="I126" s="66" t="n">
        <v>0</v>
      </c>
      <c r="J126" s="67"/>
      <c r="K126" s="68"/>
      <c r="L126" s="68"/>
      <c r="M126" s="68"/>
      <c r="N126" s="68"/>
      <c r="O126" s="68"/>
      <c r="P126" s="33"/>
      <c r="Q126" s="68"/>
      <c r="R126" s="68"/>
      <c r="S126" s="13"/>
    </row>
    <row r="127" customFormat="false" ht="27.75" hidden="false" customHeight="true" outlineLevel="0" collapsed="false">
      <c r="A127" s="5"/>
      <c r="B127" s="69"/>
      <c r="C127" s="64" t="str">
        <f aca="false">IF(B127="","",TEXT(B127,"DDD"))</f>
        <v/>
      </c>
      <c r="D127" s="36"/>
      <c r="E127" s="36"/>
      <c r="F127" s="4"/>
      <c r="G127" s="70"/>
      <c r="H127" s="36"/>
      <c r="I127" s="66" t="n">
        <v>0</v>
      </c>
      <c r="J127" s="71"/>
      <c r="K127" s="72"/>
      <c r="L127" s="72"/>
      <c r="M127" s="72"/>
      <c r="N127" s="72"/>
      <c r="O127" s="72"/>
      <c r="P127" s="4"/>
      <c r="Q127" s="72"/>
      <c r="R127" s="72"/>
      <c r="S127" s="5"/>
    </row>
    <row r="128" customFormat="false" ht="27.75" hidden="false" customHeight="true" outlineLevel="0" collapsed="false">
      <c r="A128" s="13"/>
      <c r="B128" s="63"/>
      <c r="C128" s="64" t="str">
        <f aca="false">IF(B128="","",TEXT(B128,"DDD"))</f>
        <v/>
      </c>
      <c r="D128" s="32"/>
      <c r="E128" s="32"/>
      <c r="F128" s="33"/>
      <c r="G128" s="65"/>
      <c r="H128" s="32"/>
      <c r="I128" s="66" t="n">
        <v>0</v>
      </c>
      <c r="J128" s="67"/>
      <c r="K128" s="68"/>
      <c r="L128" s="68"/>
      <c r="M128" s="68"/>
      <c r="N128" s="68"/>
      <c r="O128" s="68"/>
      <c r="P128" s="33"/>
      <c r="Q128" s="68"/>
      <c r="R128" s="68"/>
      <c r="S128" s="13"/>
    </row>
    <row r="129" customFormat="false" ht="27.75" hidden="false" customHeight="true" outlineLevel="0" collapsed="false">
      <c r="A129" s="5"/>
      <c r="B129" s="69"/>
      <c r="C129" s="64" t="str">
        <f aca="false">IF(B129="","",TEXT(B129,"DDD"))</f>
        <v/>
      </c>
      <c r="D129" s="36"/>
      <c r="E129" s="36"/>
      <c r="F129" s="4"/>
      <c r="G129" s="70"/>
      <c r="H129" s="36"/>
      <c r="I129" s="66" t="n">
        <v>0</v>
      </c>
      <c r="J129" s="71"/>
      <c r="K129" s="72"/>
      <c r="L129" s="72"/>
      <c r="M129" s="72"/>
      <c r="N129" s="72"/>
      <c r="O129" s="72"/>
      <c r="P129" s="4"/>
      <c r="Q129" s="72"/>
      <c r="R129" s="72"/>
      <c r="S129" s="5"/>
    </row>
    <row r="130" customFormat="false" ht="27.75" hidden="false" customHeight="true" outlineLevel="0" collapsed="false">
      <c r="A130" s="13"/>
      <c r="B130" s="63"/>
      <c r="C130" s="64" t="str">
        <f aca="false">IF(B130="","",TEXT(B130,"DDD"))</f>
        <v/>
      </c>
      <c r="D130" s="32"/>
      <c r="E130" s="32"/>
      <c r="F130" s="33"/>
      <c r="G130" s="65"/>
      <c r="H130" s="32"/>
      <c r="I130" s="66" t="n">
        <v>0</v>
      </c>
      <c r="J130" s="67"/>
      <c r="K130" s="68"/>
      <c r="L130" s="68"/>
      <c r="M130" s="68"/>
      <c r="N130" s="68"/>
      <c r="O130" s="68"/>
      <c r="P130" s="33"/>
      <c r="Q130" s="68"/>
      <c r="R130" s="68"/>
      <c r="S130" s="13"/>
    </row>
    <row r="131" customFormat="false" ht="27.75" hidden="false" customHeight="true" outlineLevel="0" collapsed="false">
      <c r="A131" s="5"/>
      <c r="B131" s="69"/>
      <c r="C131" s="64" t="str">
        <f aca="false">IF(B131="","",TEXT(B131,"DDD"))</f>
        <v/>
      </c>
      <c r="D131" s="36"/>
      <c r="E131" s="36"/>
      <c r="F131" s="4"/>
      <c r="G131" s="70"/>
      <c r="H131" s="36"/>
      <c r="I131" s="66" t="n">
        <v>0</v>
      </c>
      <c r="J131" s="71"/>
      <c r="K131" s="72"/>
      <c r="L131" s="72"/>
      <c r="M131" s="72"/>
      <c r="N131" s="72"/>
      <c r="O131" s="72"/>
      <c r="P131" s="4"/>
      <c r="Q131" s="72"/>
      <c r="R131" s="72"/>
      <c r="S131" s="5"/>
    </row>
    <row r="132" customFormat="false" ht="27.75" hidden="false" customHeight="true" outlineLevel="0" collapsed="false">
      <c r="A132" s="13"/>
      <c r="B132" s="63"/>
      <c r="C132" s="64" t="str">
        <f aca="false">IF(B132="","",TEXT(B132,"DDD"))</f>
        <v/>
      </c>
      <c r="D132" s="32"/>
      <c r="E132" s="32"/>
      <c r="F132" s="33"/>
      <c r="G132" s="65"/>
      <c r="H132" s="32"/>
      <c r="I132" s="66" t="n">
        <v>0</v>
      </c>
      <c r="J132" s="67"/>
      <c r="K132" s="68"/>
      <c r="L132" s="68"/>
      <c r="M132" s="68"/>
      <c r="N132" s="68"/>
      <c r="O132" s="68"/>
      <c r="P132" s="33"/>
      <c r="Q132" s="68"/>
      <c r="R132" s="68"/>
      <c r="S132" s="13"/>
    </row>
    <row r="133" customFormat="false" ht="27.75" hidden="false" customHeight="true" outlineLevel="0" collapsed="false">
      <c r="A133" s="5"/>
      <c r="B133" s="69"/>
      <c r="C133" s="64" t="str">
        <f aca="false">IF(B133="","",TEXT(B133,"DDD"))</f>
        <v/>
      </c>
      <c r="D133" s="36"/>
      <c r="E133" s="36"/>
      <c r="F133" s="4"/>
      <c r="G133" s="70"/>
      <c r="H133" s="36"/>
      <c r="I133" s="66" t="n">
        <v>0</v>
      </c>
      <c r="J133" s="71"/>
      <c r="K133" s="72"/>
      <c r="L133" s="72"/>
      <c r="M133" s="72"/>
      <c r="N133" s="72"/>
      <c r="O133" s="72"/>
      <c r="P133" s="4"/>
      <c r="Q133" s="72"/>
      <c r="R133" s="72"/>
      <c r="S133" s="5"/>
    </row>
    <row r="134" customFormat="false" ht="27.75" hidden="false" customHeight="true" outlineLevel="0" collapsed="false">
      <c r="A134" s="13"/>
      <c r="B134" s="63"/>
      <c r="C134" s="64" t="str">
        <f aca="false">IF(B134="","",TEXT(B134,"DDD"))</f>
        <v/>
      </c>
      <c r="D134" s="32"/>
      <c r="E134" s="32"/>
      <c r="F134" s="33"/>
      <c r="G134" s="65"/>
      <c r="H134" s="32"/>
      <c r="I134" s="66" t="n">
        <v>0</v>
      </c>
      <c r="J134" s="67"/>
      <c r="K134" s="68"/>
      <c r="L134" s="68"/>
      <c r="M134" s="68"/>
      <c r="N134" s="68"/>
      <c r="O134" s="68"/>
      <c r="P134" s="33"/>
      <c r="Q134" s="68"/>
      <c r="R134" s="68"/>
      <c r="S134" s="13"/>
    </row>
    <row r="135" customFormat="false" ht="27.75" hidden="false" customHeight="true" outlineLevel="0" collapsed="false">
      <c r="A135" s="5"/>
      <c r="B135" s="69"/>
      <c r="C135" s="64" t="str">
        <f aca="false">IF(B135="","",TEXT(B135,"DDD"))</f>
        <v/>
      </c>
      <c r="D135" s="36"/>
      <c r="E135" s="36"/>
      <c r="F135" s="4"/>
      <c r="G135" s="70"/>
      <c r="H135" s="36"/>
      <c r="I135" s="66" t="n">
        <v>0</v>
      </c>
      <c r="J135" s="71"/>
      <c r="K135" s="72"/>
      <c r="L135" s="72"/>
      <c r="M135" s="72"/>
      <c r="N135" s="72"/>
      <c r="O135" s="72"/>
      <c r="P135" s="4"/>
      <c r="Q135" s="72"/>
      <c r="R135" s="72"/>
      <c r="S135" s="5"/>
    </row>
    <row r="136" customFormat="false" ht="27.75" hidden="false" customHeight="true" outlineLevel="0" collapsed="false">
      <c r="A136" s="13"/>
      <c r="B136" s="63"/>
      <c r="C136" s="64" t="str">
        <f aca="false">IF(B136="","",TEXT(B136,"DDD"))</f>
        <v/>
      </c>
      <c r="D136" s="32"/>
      <c r="E136" s="32"/>
      <c r="F136" s="33"/>
      <c r="G136" s="65"/>
      <c r="H136" s="32"/>
      <c r="I136" s="66" t="n">
        <v>0</v>
      </c>
      <c r="J136" s="67"/>
      <c r="K136" s="68"/>
      <c r="L136" s="68"/>
      <c r="M136" s="68"/>
      <c r="N136" s="68"/>
      <c r="O136" s="68"/>
      <c r="P136" s="33"/>
      <c r="Q136" s="68"/>
      <c r="R136" s="68"/>
      <c r="S136" s="13"/>
    </row>
    <row r="137" customFormat="false" ht="27.75" hidden="false" customHeight="true" outlineLevel="0" collapsed="false">
      <c r="A137" s="5"/>
      <c r="B137" s="69"/>
      <c r="C137" s="64" t="str">
        <f aca="false">IF(B137="","",TEXT(B137,"DDD"))</f>
        <v/>
      </c>
      <c r="D137" s="36"/>
      <c r="E137" s="36"/>
      <c r="F137" s="4"/>
      <c r="G137" s="70"/>
      <c r="H137" s="36"/>
      <c r="I137" s="66" t="n">
        <v>0</v>
      </c>
      <c r="J137" s="71"/>
      <c r="K137" s="72"/>
      <c r="L137" s="72"/>
      <c r="M137" s="72"/>
      <c r="N137" s="72"/>
      <c r="O137" s="72"/>
      <c r="P137" s="4"/>
      <c r="Q137" s="72"/>
      <c r="R137" s="72"/>
      <c r="S137" s="5"/>
    </row>
    <row r="138" customFormat="false" ht="27.75" hidden="false" customHeight="true" outlineLevel="0" collapsed="false">
      <c r="A138" s="13"/>
      <c r="B138" s="63"/>
      <c r="C138" s="64" t="str">
        <f aca="false">IF(B138="","",TEXT(B138,"DDD"))</f>
        <v/>
      </c>
      <c r="D138" s="32"/>
      <c r="E138" s="32"/>
      <c r="F138" s="33"/>
      <c r="G138" s="65"/>
      <c r="H138" s="32"/>
      <c r="I138" s="66" t="n">
        <v>0</v>
      </c>
      <c r="J138" s="67"/>
      <c r="K138" s="68"/>
      <c r="L138" s="68"/>
      <c r="M138" s="68"/>
      <c r="N138" s="68"/>
      <c r="O138" s="68"/>
      <c r="P138" s="33"/>
      <c r="Q138" s="68"/>
      <c r="R138" s="68"/>
      <c r="S138" s="13"/>
    </row>
    <row r="139" customFormat="false" ht="27.75" hidden="false" customHeight="true" outlineLevel="0" collapsed="false">
      <c r="A139" s="5"/>
      <c r="B139" s="69"/>
      <c r="C139" s="64" t="str">
        <f aca="false">IF(B139="","",TEXT(B139,"DDD"))</f>
        <v/>
      </c>
      <c r="D139" s="36"/>
      <c r="E139" s="36"/>
      <c r="F139" s="4"/>
      <c r="G139" s="70"/>
      <c r="H139" s="36"/>
      <c r="I139" s="66" t="n">
        <v>0</v>
      </c>
      <c r="J139" s="71"/>
      <c r="K139" s="72"/>
      <c r="L139" s="72"/>
      <c r="M139" s="72"/>
      <c r="N139" s="72"/>
      <c r="O139" s="72"/>
      <c r="P139" s="4"/>
      <c r="Q139" s="72"/>
      <c r="R139" s="72"/>
      <c r="S139" s="5"/>
    </row>
    <row r="140" customFormat="false" ht="27.75" hidden="false" customHeight="true" outlineLevel="0" collapsed="false">
      <c r="A140" s="13"/>
      <c r="B140" s="63"/>
      <c r="C140" s="64" t="str">
        <f aca="false">IF(B140="","",TEXT(B140,"DDD"))</f>
        <v/>
      </c>
      <c r="D140" s="32"/>
      <c r="E140" s="32"/>
      <c r="F140" s="33"/>
      <c r="G140" s="65"/>
      <c r="H140" s="32"/>
      <c r="I140" s="66" t="n">
        <v>0</v>
      </c>
      <c r="J140" s="67"/>
      <c r="K140" s="68"/>
      <c r="L140" s="68"/>
      <c r="M140" s="68"/>
      <c r="N140" s="68"/>
      <c r="O140" s="68"/>
      <c r="P140" s="33"/>
      <c r="Q140" s="68"/>
      <c r="R140" s="68"/>
      <c r="S140" s="13"/>
    </row>
    <row r="141" customFormat="false" ht="27.75" hidden="false" customHeight="true" outlineLevel="0" collapsed="false">
      <c r="A141" s="5"/>
      <c r="B141" s="69"/>
      <c r="C141" s="64" t="str">
        <f aca="false">IF(B141="","",TEXT(B141,"DDD"))</f>
        <v/>
      </c>
      <c r="D141" s="36"/>
      <c r="E141" s="36"/>
      <c r="F141" s="4"/>
      <c r="G141" s="70"/>
      <c r="H141" s="36"/>
      <c r="I141" s="66" t="n">
        <v>0</v>
      </c>
      <c r="J141" s="71"/>
      <c r="K141" s="72"/>
      <c r="L141" s="72"/>
      <c r="M141" s="72"/>
      <c r="N141" s="72"/>
      <c r="O141" s="72"/>
      <c r="P141" s="4"/>
      <c r="Q141" s="72"/>
      <c r="R141" s="72"/>
      <c r="S141" s="5"/>
    </row>
    <row r="142" customFormat="false" ht="27.75" hidden="false" customHeight="true" outlineLevel="0" collapsed="false">
      <c r="A142" s="13"/>
      <c r="B142" s="63"/>
      <c r="C142" s="64" t="str">
        <f aca="false">IF(B142="","",TEXT(B142,"DDD"))</f>
        <v/>
      </c>
      <c r="D142" s="32"/>
      <c r="E142" s="32"/>
      <c r="F142" s="33"/>
      <c r="G142" s="65"/>
      <c r="H142" s="32"/>
      <c r="I142" s="66" t="n">
        <v>0</v>
      </c>
      <c r="J142" s="67"/>
      <c r="K142" s="68"/>
      <c r="L142" s="68"/>
      <c r="M142" s="68"/>
      <c r="N142" s="68"/>
      <c r="O142" s="68"/>
      <c r="P142" s="33"/>
      <c r="Q142" s="68"/>
      <c r="R142" s="68"/>
      <c r="S142" s="13"/>
    </row>
    <row r="143" customFormat="false" ht="27.75" hidden="false" customHeight="true" outlineLevel="0" collapsed="false">
      <c r="A143" s="5"/>
      <c r="B143" s="69"/>
      <c r="C143" s="64" t="str">
        <f aca="false">IF(B143="","",TEXT(B143,"DDD"))</f>
        <v/>
      </c>
      <c r="D143" s="36"/>
      <c r="E143" s="36"/>
      <c r="F143" s="4"/>
      <c r="G143" s="70"/>
      <c r="H143" s="36"/>
      <c r="I143" s="66" t="n">
        <v>0</v>
      </c>
      <c r="J143" s="71"/>
      <c r="K143" s="72"/>
      <c r="L143" s="72"/>
      <c r="M143" s="72"/>
      <c r="N143" s="72"/>
      <c r="O143" s="72"/>
      <c r="P143" s="4"/>
      <c r="Q143" s="72"/>
      <c r="R143" s="72"/>
      <c r="S143" s="5"/>
    </row>
    <row r="144" customFormat="false" ht="27.75" hidden="false" customHeight="true" outlineLevel="0" collapsed="false">
      <c r="A144" s="13"/>
      <c r="B144" s="63"/>
      <c r="C144" s="64" t="str">
        <f aca="false">IF(B144="","",TEXT(B144,"DDD"))</f>
        <v/>
      </c>
      <c r="D144" s="32"/>
      <c r="E144" s="32"/>
      <c r="F144" s="33"/>
      <c r="G144" s="65"/>
      <c r="H144" s="32"/>
      <c r="I144" s="66" t="n">
        <v>0</v>
      </c>
      <c r="J144" s="67"/>
      <c r="K144" s="68"/>
      <c r="L144" s="68"/>
      <c r="M144" s="68"/>
      <c r="N144" s="68"/>
      <c r="O144" s="68"/>
      <c r="P144" s="33"/>
      <c r="Q144" s="68"/>
      <c r="R144" s="68"/>
      <c r="S144" s="13"/>
    </row>
    <row r="145" customFormat="false" ht="27.75" hidden="false" customHeight="true" outlineLevel="0" collapsed="false">
      <c r="A145" s="5"/>
      <c r="B145" s="69"/>
      <c r="C145" s="64" t="str">
        <f aca="false">IF(B145="","",TEXT(B145,"DDD"))</f>
        <v/>
      </c>
      <c r="D145" s="36"/>
      <c r="E145" s="36"/>
      <c r="F145" s="4"/>
      <c r="G145" s="70"/>
      <c r="H145" s="36"/>
      <c r="I145" s="66" t="n">
        <v>0</v>
      </c>
      <c r="J145" s="71"/>
      <c r="K145" s="72"/>
      <c r="L145" s="72"/>
      <c r="M145" s="72"/>
      <c r="N145" s="72"/>
      <c r="O145" s="72"/>
      <c r="P145" s="4"/>
      <c r="Q145" s="72"/>
      <c r="R145" s="72"/>
      <c r="S145" s="5"/>
    </row>
    <row r="146" customFormat="false" ht="27.75" hidden="false" customHeight="true" outlineLevel="0" collapsed="false">
      <c r="A146" s="13"/>
      <c r="B146" s="63"/>
      <c r="C146" s="64" t="str">
        <f aca="false">IF(B146="","",TEXT(B146,"DDD"))</f>
        <v/>
      </c>
      <c r="D146" s="32"/>
      <c r="E146" s="32"/>
      <c r="F146" s="33"/>
      <c r="G146" s="65"/>
      <c r="H146" s="32"/>
      <c r="I146" s="66" t="n">
        <v>0</v>
      </c>
      <c r="J146" s="67"/>
      <c r="K146" s="68"/>
      <c r="L146" s="68"/>
      <c r="M146" s="68"/>
      <c r="N146" s="68"/>
      <c r="O146" s="68"/>
      <c r="P146" s="33"/>
      <c r="Q146" s="68"/>
      <c r="R146" s="68"/>
      <c r="S146" s="13"/>
    </row>
    <row r="147" customFormat="false" ht="27.75" hidden="false" customHeight="true" outlineLevel="0" collapsed="false">
      <c r="A147" s="5"/>
      <c r="B147" s="69"/>
      <c r="C147" s="64" t="str">
        <f aca="false">IF(B147="","",TEXT(B147,"DDD"))</f>
        <v/>
      </c>
      <c r="D147" s="36"/>
      <c r="E147" s="36"/>
      <c r="F147" s="4"/>
      <c r="G147" s="70"/>
      <c r="H147" s="36"/>
      <c r="I147" s="66" t="n">
        <v>0</v>
      </c>
      <c r="J147" s="71"/>
      <c r="K147" s="72"/>
      <c r="L147" s="72"/>
      <c r="M147" s="72"/>
      <c r="N147" s="72"/>
      <c r="O147" s="72"/>
      <c r="P147" s="4"/>
      <c r="Q147" s="72"/>
      <c r="R147" s="72"/>
      <c r="S147" s="5"/>
    </row>
    <row r="148" customFormat="false" ht="27.75" hidden="false" customHeight="true" outlineLevel="0" collapsed="false">
      <c r="A148" s="13"/>
      <c r="B148" s="63"/>
      <c r="C148" s="64" t="str">
        <f aca="false">IF(B148="","",TEXT(B148,"DDD"))</f>
        <v/>
      </c>
      <c r="D148" s="32"/>
      <c r="E148" s="32"/>
      <c r="F148" s="33"/>
      <c r="G148" s="65"/>
      <c r="H148" s="32"/>
      <c r="I148" s="66" t="n">
        <v>0</v>
      </c>
      <c r="J148" s="67"/>
      <c r="K148" s="68"/>
      <c r="L148" s="68"/>
      <c r="M148" s="68"/>
      <c r="N148" s="68"/>
      <c r="O148" s="68"/>
      <c r="P148" s="33"/>
      <c r="Q148" s="68"/>
      <c r="R148" s="68"/>
      <c r="S148" s="13"/>
    </row>
    <row r="149" customFormat="false" ht="27.75" hidden="false" customHeight="true" outlineLevel="0" collapsed="false">
      <c r="A149" s="5"/>
      <c r="B149" s="69"/>
      <c r="C149" s="64" t="str">
        <f aca="false">IF(B149="","",TEXT(B149,"DDD"))</f>
        <v/>
      </c>
      <c r="D149" s="36"/>
      <c r="E149" s="36"/>
      <c r="F149" s="4"/>
      <c r="G149" s="70"/>
      <c r="H149" s="36"/>
      <c r="I149" s="66" t="n">
        <v>0</v>
      </c>
      <c r="J149" s="71"/>
      <c r="K149" s="72"/>
      <c r="L149" s="72"/>
      <c r="M149" s="72"/>
      <c r="N149" s="72"/>
      <c r="O149" s="72"/>
      <c r="P149" s="4"/>
      <c r="Q149" s="72"/>
      <c r="R149" s="72"/>
      <c r="S149" s="5"/>
    </row>
    <row r="150" customFormat="false" ht="27.75" hidden="false" customHeight="true" outlineLevel="0" collapsed="false">
      <c r="A150" s="13"/>
      <c r="B150" s="63"/>
      <c r="C150" s="64" t="str">
        <f aca="false">IF(B150="","",TEXT(B150,"DDD"))</f>
        <v/>
      </c>
      <c r="D150" s="32"/>
      <c r="E150" s="32"/>
      <c r="F150" s="33"/>
      <c r="G150" s="65"/>
      <c r="H150" s="32"/>
      <c r="I150" s="66" t="n">
        <v>0</v>
      </c>
      <c r="J150" s="67"/>
      <c r="K150" s="68"/>
      <c r="L150" s="68"/>
      <c r="M150" s="68"/>
      <c r="N150" s="68"/>
      <c r="O150" s="68"/>
      <c r="P150" s="33"/>
      <c r="Q150" s="68"/>
      <c r="R150" s="68"/>
      <c r="S150" s="13"/>
    </row>
    <row r="151" customFormat="false" ht="27.75" hidden="false" customHeight="true" outlineLevel="0" collapsed="false">
      <c r="A151" s="5"/>
      <c r="B151" s="69"/>
      <c r="C151" s="64" t="str">
        <f aca="false">IF(B151="","",TEXT(B151,"DDD"))</f>
        <v/>
      </c>
      <c r="D151" s="36"/>
      <c r="E151" s="36"/>
      <c r="F151" s="4"/>
      <c r="G151" s="70"/>
      <c r="H151" s="36"/>
      <c r="I151" s="66" t="n">
        <v>0</v>
      </c>
      <c r="J151" s="71"/>
      <c r="K151" s="72"/>
      <c r="L151" s="72"/>
      <c r="M151" s="72"/>
      <c r="N151" s="72"/>
      <c r="O151" s="72"/>
      <c r="P151" s="4"/>
      <c r="Q151" s="72"/>
      <c r="R151" s="72"/>
      <c r="S151" s="5"/>
    </row>
    <row r="152" customFormat="false" ht="27.75" hidden="false" customHeight="true" outlineLevel="0" collapsed="false">
      <c r="A152" s="13"/>
      <c r="B152" s="63"/>
      <c r="C152" s="64" t="str">
        <f aca="false">IF(B152="","",TEXT(B152,"DDD"))</f>
        <v/>
      </c>
      <c r="D152" s="32"/>
      <c r="E152" s="32"/>
      <c r="F152" s="33"/>
      <c r="G152" s="65"/>
      <c r="H152" s="32"/>
      <c r="I152" s="66" t="n">
        <v>0</v>
      </c>
      <c r="J152" s="67"/>
      <c r="K152" s="68"/>
      <c r="L152" s="68"/>
      <c r="M152" s="68"/>
      <c r="N152" s="68"/>
      <c r="O152" s="68"/>
      <c r="P152" s="33"/>
      <c r="Q152" s="68"/>
      <c r="R152" s="68"/>
      <c r="S152" s="13"/>
    </row>
    <row r="153" customFormat="false" ht="27.75" hidden="false" customHeight="true" outlineLevel="0" collapsed="false">
      <c r="A153" s="5"/>
      <c r="B153" s="69"/>
      <c r="C153" s="64" t="str">
        <f aca="false">IF(B153="","",TEXT(B153,"DDD"))</f>
        <v/>
      </c>
      <c r="D153" s="36"/>
      <c r="E153" s="36"/>
      <c r="F153" s="4"/>
      <c r="G153" s="70"/>
      <c r="H153" s="36"/>
      <c r="I153" s="66" t="n">
        <v>0</v>
      </c>
      <c r="J153" s="71"/>
      <c r="K153" s="72"/>
      <c r="L153" s="72"/>
      <c r="M153" s="72"/>
      <c r="N153" s="72"/>
      <c r="O153" s="72"/>
      <c r="P153" s="4"/>
      <c r="Q153" s="72"/>
      <c r="R153" s="72"/>
      <c r="S153" s="5"/>
    </row>
    <row r="154" customFormat="false" ht="27.75" hidden="false" customHeight="true" outlineLevel="0" collapsed="false">
      <c r="A154" s="13"/>
      <c r="B154" s="63"/>
      <c r="C154" s="64" t="str">
        <f aca="false">IF(B154="","",TEXT(B154,"DDD"))</f>
        <v/>
      </c>
      <c r="D154" s="32"/>
      <c r="E154" s="32"/>
      <c r="F154" s="33"/>
      <c r="G154" s="65"/>
      <c r="H154" s="32"/>
      <c r="I154" s="66" t="n">
        <v>0</v>
      </c>
      <c r="J154" s="67"/>
      <c r="K154" s="68"/>
      <c r="L154" s="68"/>
      <c r="M154" s="68"/>
      <c r="N154" s="68"/>
      <c r="O154" s="68"/>
      <c r="P154" s="33"/>
      <c r="Q154" s="68"/>
      <c r="R154" s="68"/>
      <c r="S154" s="13"/>
    </row>
    <row r="155" customFormat="false" ht="27.75" hidden="false" customHeight="true" outlineLevel="0" collapsed="false">
      <c r="A155" s="5"/>
      <c r="B155" s="69"/>
      <c r="C155" s="64" t="str">
        <f aca="false">IF(B155="","",TEXT(B155,"DDD"))</f>
        <v/>
      </c>
      <c r="D155" s="36"/>
      <c r="E155" s="36"/>
      <c r="F155" s="4"/>
      <c r="G155" s="70"/>
      <c r="H155" s="36"/>
      <c r="I155" s="66" t="n">
        <v>0</v>
      </c>
      <c r="J155" s="71"/>
      <c r="K155" s="72"/>
      <c r="L155" s="72"/>
      <c r="M155" s="72"/>
      <c r="N155" s="72"/>
      <c r="O155" s="72"/>
      <c r="P155" s="4"/>
      <c r="Q155" s="72"/>
      <c r="R155" s="72"/>
      <c r="S155" s="5"/>
    </row>
    <row r="156" customFormat="false" ht="27.75" hidden="false" customHeight="true" outlineLevel="0" collapsed="false">
      <c r="A156" s="13"/>
      <c r="B156" s="63"/>
      <c r="C156" s="64" t="str">
        <f aca="false">IF(B156="","",TEXT(B156,"DDD"))</f>
        <v/>
      </c>
      <c r="D156" s="32"/>
      <c r="E156" s="32"/>
      <c r="F156" s="33"/>
      <c r="G156" s="65"/>
      <c r="H156" s="32"/>
      <c r="I156" s="66" t="n">
        <v>0</v>
      </c>
      <c r="J156" s="67"/>
      <c r="K156" s="68"/>
      <c r="L156" s="68"/>
      <c r="M156" s="68"/>
      <c r="N156" s="68"/>
      <c r="O156" s="68"/>
      <c r="P156" s="33"/>
      <c r="Q156" s="68"/>
      <c r="R156" s="68"/>
      <c r="S156" s="13"/>
    </row>
    <row r="157" customFormat="false" ht="27.75" hidden="false" customHeight="true" outlineLevel="0" collapsed="false">
      <c r="A157" s="5"/>
      <c r="B157" s="69"/>
      <c r="C157" s="64" t="str">
        <f aca="false">IF(B157="","",TEXT(B157,"DDD"))</f>
        <v/>
      </c>
      <c r="D157" s="36"/>
      <c r="E157" s="36"/>
      <c r="F157" s="4"/>
      <c r="G157" s="70"/>
      <c r="H157" s="36"/>
      <c r="I157" s="66" t="n">
        <v>0</v>
      </c>
      <c r="J157" s="71"/>
      <c r="K157" s="72"/>
      <c r="L157" s="72"/>
      <c r="M157" s="72"/>
      <c r="N157" s="72"/>
      <c r="O157" s="72"/>
      <c r="P157" s="4"/>
      <c r="Q157" s="72"/>
      <c r="R157" s="72"/>
      <c r="S157" s="5"/>
    </row>
    <row r="158" customFormat="false" ht="27.75" hidden="false" customHeight="true" outlineLevel="0" collapsed="false">
      <c r="A158" s="13"/>
      <c r="B158" s="63"/>
      <c r="C158" s="64" t="str">
        <f aca="false">IF(B158="","",TEXT(B158,"DDD"))</f>
        <v/>
      </c>
      <c r="D158" s="32"/>
      <c r="E158" s="32"/>
      <c r="F158" s="33"/>
      <c r="G158" s="65"/>
      <c r="H158" s="32"/>
      <c r="I158" s="66" t="n">
        <v>0</v>
      </c>
      <c r="J158" s="67"/>
      <c r="K158" s="68"/>
      <c r="L158" s="68"/>
      <c r="M158" s="68"/>
      <c r="N158" s="68"/>
      <c r="O158" s="68"/>
      <c r="P158" s="33"/>
      <c r="Q158" s="68"/>
      <c r="R158" s="68"/>
      <c r="S158" s="13"/>
    </row>
    <row r="159" customFormat="false" ht="27.75" hidden="false" customHeight="true" outlineLevel="0" collapsed="false">
      <c r="A159" s="5"/>
      <c r="B159" s="69"/>
      <c r="C159" s="64" t="str">
        <f aca="false">IF(B159="","",TEXT(B159,"DDD"))</f>
        <v/>
      </c>
      <c r="D159" s="36"/>
      <c r="E159" s="36"/>
      <c r="F159" s="4"/>
      <c r="G159" s="70"/>
      <c r="H159" s="36"/>
      <c r="I159" s="66" t="n">
        <v>0</v>
      </c>
      <c r="J159" s="71"/>
      <c r="K159" s="72"/>
      <c r="L159" s="72"/>
      <c r="M159" s="72"/>
      <c r="N159" s="72"/>
      <c r="O159" s="72"/>
      <c r="P159" s="4"/>
      <c r="Q159" s="72"/>
      <c r="R159" s="72"/>
      <c r="S159" s="5"/>
    </row>
    <row r="160" customFormat="false" ht="27.75" hidden="false" customHeight="true" outlineLevel="0" collapsed="false">
      <c r="A160" s="13"/>
      <c r="B160" s="63"/>
      <c r="C160" s="64" t="str">
        <f aca="false">IF(B160="","",TEXT(B160,"DDD"))</f>
        <v/>
      </c>
      <c r="D160" s="32"/>
      <c r="E160" s="32"/>
      <c r="F160" s="33"/>
      <c r="G160" s="65"/>
      <c r="H160" s="32"/>
      <c r="I160" s="66" t="n">
        <v>0</v>
      </c>
      <c r="J160" s="67"/>
      <c r="K160" s="68"/>
      <c r="L160" s="68"/>
      <c r="M160" s="68"/>
      <c r="N160" s="68"/>
      <c r="O160" s="68"/>
      <c r="P160" s="33"/>
      <c r="Q160" s="68"/>
      <c r="R160" s="68"/>
      <c r="S160" s="13"/>
    </row>
    <row r="161" customFormat="false" ht="27.75" hidden="false" customHeight="true" outlineLevel="0" collapsed="false">
      <c r="A161" s="5"/>
      <c r="B161" s="69"/>
      <c r="C161" s="64" t="str">
        <f aca="false">IF(B161="","",TEXT(B161,"DDD"))</f>
        <v/>
      </c>
      <c r="D161" s="36"/>
      <c r="E161" s="36"/>
      <c r="F161" s="4"/>
      <c r="G161" s="70"/>
      <c r="H161" s="36"/>
      <c r="I161" s="66" t="n">
        <v>0</v>
      </c>
      <c r="J161" s="71"/>
      <c r="K161" s="72"/>
      <c r="L161" s="72"/>
      <c r="M161" s="72"/>
      <c r="N161" s="72"/>
      <c r="O161" s="72"/>
      <c r="P161" s="4"/>
      <c r="Q161" s="72"/>
      <c r="R161" s="72"/>
      <c r="S161" s="5"/>
    </row>
    <row r="162" customFormat="false" ht="27.75" hidden="false" customHeight="true" outlineLevel="0" collapsed="false">
      <c r="A162" s="13"/>
      <c r="B162" s="63"/>
      <c r="C162" s="64" t="str">
        <f aca="false">IF(B162="","",TEXT(B162,"DDD"))</f>
        <v/>
      </c>
      <c r="D162" s="32"/>
      <c r="E162" s="32"/>
      <c r="F162" s="33"/>
      <c r="G162" s="65"/>
      <c r="H162" s="32"/>
      <c r="I162" s="66" t="n">
        <v>0</v>
      </c>
      <c r="J162" s="67"/>
      <c r="K162" s="68"/>
      <c r="L162" s="68"/>
      <c r="M162" s="68"/>
      <c r="N162" s="68"/>
      <c r="O162" s="68"/>
      <c r="P162" s="33"/>
      <c r="Q162" s="68"/>
      <c r="R162" s="68"/>
      <c r="S162" s="13"/>
    </row>
    <row r="163" customFormat="false" ht="27.75" hidden="false" customHeight="true" outlineLevel="0" collapsed="false">
      <c r="A163" s="5"/>
      <c r="B163" s="69"/>
      <c r="C163" s="64" t="str">
        <f aca="false">IF(B163="","",TEXT(B163,"DDD"))</f>
        <v/>
      </c>
      <c r="D163" s="36"/>
      <c r="E163" s="36"/>
      <c r="F163" s="4"/>
      <c r="G163" s="70"/>
      <c r="H163" s="36"/>
      <c r="I163" s="66" t="n">
        <v>0</v>
      </c>
      <c r="J163" s="71"/>
      <c r="K163" s="72"/>
      <c r="L163" s="72"/>
      <c r="M163" s="72"/>
      <c r="N163" s="72"/>
      <c r="O163" s="72"/>
      <c r="P163" s="4"/>
      <c r="Q163" s="72"/>
      <c r="R163" s="72"/>
      <c r="S163" s="5"/>
    </row>
    <row r="164" customFormat="false" ht="27.75" hidden="false" customHeight="true" outlineLevel="0" collapsed="false">
      <c r="A164" s="13"/>
      <c r="B164" s="63"/>
      <c r="C164" s="64" t="str">
        <f aca="false">IF(B164="","",TEXT(B164,"DDD"))</f>
        <v/>
      </c>
      <c r="D164" s="32"/>
      <c r="E164" s="32"/>
      <c r="F164" s="33"/>
      <c r="G164" s="65"/>
      <c r="H164" s="32"/>
      <c r="I164" s="66" t="n">
        <v>0</v>
      </c>
      <c r="J164" s="67"/>
      <c r="K164" s="68"/>
      <c r="L164" s="68"/>
      <c r="M164" s="68"/>
      <c r="N164" s="68"/>
      <c r="O164" s="68"/>
      <c r="P164" s="33"/>
      <c r="Q164" s="68"/>
      <c r="R164" s="68"/>
      <c r="S164" s="13"/>
    </row>
    <row r="165" customFormat="false" ht="27.75" hidden="false" customHeight="true" outlineLevel="0" collapsed="false">
      <c r="A165" s="5"/>
      <c r="B165" s="69"/>
      <c r="C165" s="64" t="str">
        <f aca="false">IF(B165="","",TEXT(B165,"DDD"))</f>
        <v/>
      </c>
      <c r="D165" s="36"/>
      <c r="E165" s="36"/>
      <c r="F165" s="4"/>
      <c r="G165" s="70"/>
      <c r="H165" s="36"/>
      <c r="I165" s="66" t="n">
        <v>0</v>
      </c>
      <c r="J165" s="71"/>
      <c r="K165" s="72"/>
      <c r="L165" s="72"/>
      <c r="M165" s="72"/>
      <c r="N165" s="72"/>
      <c r="O165" s="72"/>
      <c r="P165" s="4"/>
      <c r="Q165" s="72"/>
      <c r="R165" s="72"/>
      <c r="S165" s="5"/>
    </row>
    <row r="166" customFormat="false" ht="27.75" hidden="false" customHeight="true" outlineLevel="0" collapsed="false">
      <c r="A166" s="13"/>
      <c r="B166" s="63"/>
      <c r="C166" s="64" t="str">
        <f aca="false">IF(B166="","",TEXT(B166,"DDD"))</f>
        <v/>
      </c>
      <c r="D166" s="32"/>
      <c r="E166" s="32"/>
      <c r="F166" s="33"/>
      <c r="G166" s="65"/>
      <c r="H166" s="32"/>
      <c r="I166" s="66" t="n">
        <v>0</v>
      </c>
      <c r="J166" s="67"/>
      <c r="K166" s="68"/>
      <c r="L166" s="68"/>
      <c r="M166" s="68"/>
      <c r="N166" s="68"/>
      <c r="O166" s="68"/>
      <c r="P166" s="33"/>
      <c r="Q166" s="68"/>
      <c r="R166" s="68"/>
      <c r="S166" s="13"/>
    </row>
    <row r="167" customFormat="false" ht="27.75" hidden="false" customHeight="true" outlineLevel="0" collapsed="false">
      <c r="A167" s="5"/>
      <c r="B167" s="69"/>
      <c r="C167" s="64" t="str">
        <f aca="false">IF(B167="","",TEXT(B167,"DDD"))</f>
        <v/>
      </c>
      <c r="D167" s="36"/>
      <c r="E167" s="36"/>
      <c r="F167" s="4"/>
      <c r="G167" s="70"/>
      <c r="H167" s="36"/>
      <c r="I167" s="66" t="n">
        <v>0</v>
      </c>
      <c r="J167" s="71"/>
      <c r="K167" s="72"/>
      <c r="L167" s="72"/>
      <c r="M167" s="72"/>
      <c r="N167" s="72"/>
      <c r="O167" s="72"/>
      <c r="P167" s="4"/>
      <c r="Q167" s="72"/>
      <c r="R167" s="72"/>
      <c r="S167" s="5"/>
    </row>
    <row r="168" customFormat="false" ht="27.75" hidden="false" customHeight="true" outlineLevel="0" collapsed="false">
      <c r="A168" s="13"/>
      <c r="B168" s="63"/>
      <c r="C168" s="64" t="str">
        <f aca="false">IF(B168="","",TEXT(B168,"DDD"))</f>
        <v/>
      </c>
      <c r="D168" s="32"/>
      <c r="E168" s="32"/>
      <c r="F168" s="33"/>
      <c r="G168" s="65"/>
      <c r="H168" s="32"/>
      <c r="I168" s="66" t="n">
        <v>0</v>
      </c>
      <c r="J168" s="67"/>
      <c r="K168" s="68"/>
      <c r="L168" s="68"/>
      <c r="M168" s="68"/>
      <c r="N168" s="68"/>
      <c r="O168" s="68"/>
      <c r="P168" s="33"/>
      <c r="Q168" s="68"/>
      <c r="R168" s="68"/>
      <c r="S168" s="13"/>
    </row>
    <row r="169" customFormat="false" ht="27.75" hidden="false" customHeight="true" outlineLevel="0" collapsed="false">
      <c r="A169" s="5"/>
      <c r="B169" s="69"/>
      <c r="C169" s="64" t="str">
        <f aca="false">IF(B169="","",TEXT(B169,"DDD"))</f>
        <v/>
      </c>
      <c r="D169" s="36"/>
      <c r="E169" s="36"/>
      <c r="F169" s="4"/>
      <c r="G169" s="70"/>
      <c r="H169" s="36"/>
      <c r="I169" s="66" t="n">
        <v>0</v>
      </c>
      <c r="J169" s="71"/>
      <c r="K169" s="72"/>
      <c r="L169" s="72"/>
      <c r="M169" s="72"/>
      <c r="N169" s="72"/>
      <c r="O169" s="72"/>
      <c r="P169" s="4"/>
      <c r="Q169" s="72"/>
      <c r="R169" s="72"/>
      <c r="S169" s="5"/>
    </row>
    <row r="170" customFormat="false" ht="27.75" hidden="false" customHeight="true" outlineLevel="0" collapsed="false">
      <c r="A170" s="13"/>
      <c r="B170" s="63"/>
      <c r="C170" s="64" t="str">
        <f aca="false">IF(B170="","",TEXT(B170,"DDD"))</f>
        <v/>
      </c>
      <c r="D170" s="32"/>
      <c r="E170" s="32"/>
      <c r="F170" s="33"/>
      <c r="G170" s="65"/>
      <c r="H170" s="32"/>
      <c r="I170" s="66" t="n">
        <v>0</v>
      </c>
      <c r="J170" s="67"/>
      <c r="K170" s="68"/>
      <c r="L170" s="68"/>
      <c r="M170" s="68"/>
      <c r="N170" s="68"/>
      <c r="O170" s="68"/>
      <c r="P170" s="33"/>
      <c r="Q170" s="68"/>
      <c r="R170" s="68"/>
      <c r="S170" s="13"/>
    </row>
    <row r="171" customFormat="false" ht="27.75" hidden="false" customHeight="true" outlineLevel="0" collapsed="false">
      <c r="A171" s="5"/>
      <c r="B171" s="69"/>
      <c r="C171" s="64" t="str">
        <f aca="false">IF(B171="","",TEXT(B171,"DDD"))</f>
        <v/>
      </c>
      <c r="D171" s="36"/>
      <c r="E171" s="36"/>
      <c r="F171" s="4"/>
      <c r="G171" s="70"/>
      <c r="H171" s="36"/>
      <c r="I171" s="66" t="n">
        <v>0</v>
      </c>
      <c r="J171" s="71"/>
      <c r="K171" s="72"/>
      <c r="L171" s="72"/>
      <c r="M171" s="72"/>
      <c r="N171" s="72"/>
      <c r="O171" s="72"/>
      <c r="P171" s="4"/>
      <c r="Q171" s="72"/>
      <c r="R171" s="72"/>
      <c r="S171" s="5"/>
    </row>
    <row r="172" customFormat="false" ht="27.75" hidden="false" customHeight="true" outlineLevel="0" collapsed="false">
      <c r="A172" s="13"/>
      <c r="B172" s="63"/>
      <c r="C172" s="64" t="str">
        <f aca="false">IF(B172="","",TEXT(B172,"DDD"))</f>
        <v/>
      </c>
      <c r="D172" s="32"/>
      <c r="E172" s="32"/>
      <c r="F172" s="33"/>
      <c r="G172" s="65"/>
      <c r="H172" s="32"/>
      <c r="I172" s="66" t="n">
        <v>0</v>
      </c>
      <c r="J172" s="67"/>
      <c r="K172" s="68"/>
      <c r="L172" s="68"/>
      <c r="M172" s="68"/>
      <c r="N172" s="68"/>
      <c r="O172" s="68"/>
      <c r="P172" s="33"/>
      <c r="Q172" s="68"/>
      <c r="R172" s="68"/>
      <c r="S172" s="13"/>
    </row>
    <row r="173" customFormat="false" ht="27.75" hidden="false" customHeight="true" outlineLevel="0" collapsed="false">
      <c r="A173" s="5"/>
      <c r="B173" s="69"/>
      <c r="C173" s="64" t="str">
        <f aca="false">IF(B173="","",TEXT(B173,"DDD"))</f>
        <v/>
      </c>
      <c r="D173" s="36"/>
      <c r="E173" s="36"/>
      <c r="F173" s="4"/>
      <c r="G173" s="70"/>
      <c r="H173" s="36"/>
      <c r="I173" s="66" t="n">
        <v>0</v>
      </c>
      <c r="J173" s="71"/>
      <c r="K173" s="72"/>
      <c r="L173" s="72"/>
      <c r="M173" s="72"/>
      <c r="N173" s="72"/>
      <c r="O173" s="72"/>
      <c r="P173" s="4"/>
      <c r="Q173" s="72"/>
      <c r="R173" s="72"/>
      <c r="S173" s="5"/>
    </row>
    <row r="174" customFormat="false" ht="27.75" hidden="false" customHeight="true" outlineLevel="0" collapsed="false">
      <c r="A174" s="13"/>
      <c r="B174" s="63"/>
      <c r="C174" s="64" t="str">
        <f aca="false">IF(B174="","",TEXT(B174,"DDD"))</f>
        <v/>
      </c>
      <c r="D174" s="32"/>
      <c r="E174" s="32"/>
      <c r="F174" s="33"/>
      <c r="G174" s="65"/>
      <c r="H174" s="32"/>
      <c r="I174" s="66" t="n">
        <v>0</v>
      </c>
      <c r="J174" s="67"/>
      <c r="K174" s="68"/>
      <c r="L174" s="68"/>
      <c r="M174" s="68"/>
      <c r="N174" s="68"/>
      <c r="O174" s="68"/>
      <c r="P174" s="33"/>
      <c r="Q174" s="68"/>
      <c r="R174" s="68"/>
      <c r="S174" s="13"/>
    </row>
    <row r="175" customFormat="false" ht="27.75" hidden="false" customHeight="true" outlineLevel="0" collapsed="false">
      <c r="A175" s="5"/>
      <c r="B175" s="69"/>
      <c r="C175" s="64" t="str">
        <f aca="false">IF(B175="","",TEXT(B175,"DDD"))</f>
        <v/>
      </c>
      <c r="D175" s="36"/>
      <c r="E175" s="36"/>
      <c r="F175" s="4"/>
      <c r="G175" s="70"/>
      <c r="H175" s="36"/>
      <c r="I175" s="66" t="n">
        <v>0</v>
      </c>
      <c r="J175" s="71"/>
      <c r="K175" s="72"/>
      <c r="L175" s="72"/>
      <c r="M175" s="72"/>
      <c r="N175" s="72"/>
      <c r="O175" s="72"/>
      <c r="P175" s="4"/>
      <c r="Q175" s="72"/>
      <c r="R175" s="72"/>
      <c r="S175" s="5"/>
    </row>
    <row r="176" customFormat="false" ht="27.75" hidden="false" customHeight="true" outlineLevel="0" collapsed="false">
      <c r="A176" s="13"/>
      <c r="B176" s="63"/>
      <c r="C176" s="64" t="str">
        <f aca="false">IF(B176="","",TEXT(B176,"DDD"))</f>
        <v/>
      </c>
      <c r="D176" s="32"/>
      <c r="E176" s="32"/>
      <c r="F176" s="33"/>
      <c r="G176" s="65"/>
      <c r="H176" s="32"/>
      <c r="I176" s="66" t="n">
        <v>0</v>
      </c>
      <c r="J176" s="67"/>
      <c r="K176" s="68"/>
      <c r="L176" s="68"/>
      <c r="M176" s="68"/>
      <c r="N176" s="68"/>
      <c r="O176" s="68"/>
      <c r="P176" s="33"/>
      <c r="Q176" s="68"/>
      <c r="R176" s="68"/>
      <c r="S176" s="13"/>
    </row>
    <row r="177" customFormat="false" ht="27.75" hidden="false" customHeight="true" outlineLevel="0" collapsed="false">
      <c r="A177" s="5"/>
      <c r="B177" s="69"/>
      <c r="C177" s="64" t="str">
        <f aca="false">IF(B177="","",TEXT(B177,"DDD"))</f>
        <v/>
      </c>
      <c r="D177" s="36"/>
      <c r="E177" s="36"/>
      <c r="F177" s="4"/>
      <c r="G177" s="70"/>
      <c r="H177" s="36"/>
      <c r="I177" s="66" t="n">
        <v>0</v>
      </c>
      <c r="J177" s="71"/>
      <c r="K177" s="72"/>
      <c r="L177" s="72"/>
      <c r="M177" s="72"/>
      <c r="N177" s="72"/>
      <c r="O177" s="72"/>
      <c r="P177" s="4"/>
      <c r="Q177" s="72"/>
      <c r="R177" s="72"/>
      <c r="S177" s="5"/>
    </row>
    <row r="178" customFormat="false" ht="27.75" hidden="false" customHeight="true" outlineLevel="0" collapsed="false">
      <c r="A178" s="13"/>
      <c r="B178" s="63"/>
      <c r="C178" s="64" t="str">
        <f aca="false">IF(B178="","",TEXT(B178,"DDD"))</f>
        <v/>
      </c>
      <c r="D178" s="32"/>
      <c r="E178" s="32"/>
      <c r="F178" s="33"/>
      <c r="G178" s="65"/>
      <c r="H178" s="32"/>
      <c r="I178" s="66" t="n">
        <v>0</v>
      </c>
      <c r="J178" s="67"/>
      <c r="K178" s="68"/>
      <c r="L178" s="68"/>
      <c r="M178" s="68"/>
      <c r="N178" s="68"/>
      <c r="O178" s="68"/>
      <c r="P178" s="33"/>
      <c r="Q178" s="68"/>
      <c r="R178" s="68"/>
      <c r="S178" s="13"/>
    </row>
    <row r="179" customFormat="false" ht="27.75" hidden="false" customHeight="true" outlineLevel="0" collapsed="false">
      <c r="A179" s="5"/>
      <c r="B179" s="69"/>
      <c r="C179" s="64" t="str">
        <f aca="false">IF(B179="","",TEXT(B179,"DDD"))</f>
        <v/>
      </c>
      <c r="D179" s="36"/>
      <c r="E179" s="36"/>
      <c r="F179" s="4"/>
      <c r="G179" s="70"/>
      <c r="H179" s="36"/>
      <c r="I179" s="66" t="n">
        <v>0</v>
      </c>
      <c r="J179" s="71"/>
      <c r="K179" s="72"/>
      <c r="L179" s="72"/>
      <c r="M179" s="72"/>
      <c r="N179" s="72"/>
      <c r="O179" s="72"/>
      <c r="P179" s="4"/>
      <c r="Q179" s="72"/>
      <c r="R179" s="72"/>
      <c r="S179" s="5"/>
    </row>
    <row r="180" customFormat="false" ht="27.75" hidden="false" customHeight="true" outlineLevel="0" collapsed="false">
      <c r="A180" s="13"/>
      <c r="B180" s="63"/>
      <c r="C180" s="64" t="str">
        <f aca="false">IF(B180="","",TEXT(B180,"DDD"))</f>
        <v/>
      </c>
      <c r="D180" s="32"/>
      <c r="E180" s="32"/>
      <c r="F180" s="33"/>
      <c r="G180" s="65"/>
      <c r="H180" s="32"/>
      <c r="I180" s="66" t="n">
        <v>0</v>
      </c>
      <c r="J180" s="67"/>
      <c r="K180" s="68"/>
      <c r="L180" s="68"/>
      <c r="M180" s="68"/>
      <c r="N180" s="68"/>
      <c r="O180" s="68"/>
      <c r="P180" s="33"/>
      <c r="Q180" s="68"/>
      <c r="R180" s="68"/>
      <c r="S180" s="13"/>
    </row>
    <row r="181" customFormat="false" ht="27.75" hidden="false" customHeight="true" outlineLevel="0" collapsed="false">
      <c r="A181" s="5"/>
      <c r="B181" s="69"/>
      <c r="C181" s="64" t="str">
        <f aca="false">IF(B181="","",TEXT(B181,"DDD"))</f>
        <v/>
      </c>
      <c r="D181" s="36"/>
      <c r="E181" s="36"/>
      <c r="F181" s="4"/>
      <c r="G181" s="70"/>
      <c r="H181" s="36"/>
      <c r="I181" s="66" t="n">
        <v>0</v>
      </c>
      <c r="J181" s="71"/>
      <c r="K181" s="72"/>
      <c r="L181" s="72"/>
      <c r="M181" s="72"/>
      <c r="N181" s="72"/>
      <c r="O181" s="72"/>
      <c r="P181" s="4"/>
      <c r="Q181" s="72"/>
      <c r="R181" s="72"/>
      <c r="S181" s="5"/>
    </row>
    <row r="182" customFormat="false" ht="27.75" hidden="false" customHeight="true" outlineLevel="0" collapsed="false">
      <c r="A182" s="13"/>
      <c r="B182" s="63"/>
      <c r="C182" s="64" t="str">
        <f aca="false">IF(B182="","",TEXT(B182,"DDD"))</f>
        <v/>
      </c>
      <c r="D182" s="32"/>
      <c r="E182" s="32"/>
      <c r="F182" s="33"/>
      <c r="G182" s="65"/>
      <c r="H182" s="32"/>
      <c r="I182" s="66" t="n">
        <v>0</v>
      </c>
      <c r="J182" s="67"/>
      <c r="K182" s="68"/>
      <c r="L182" s="68"/>
      <c r="M182" s="68"/>
      <c r="N182" s="68"/>
      <c r="O182" s="68"/>
      <c r="P182" s="33"/>
      <c r="Q182" s="68"/>
      <c r="R182" s="68"/>
      <c r="S182" s="13"/>
    </row>
    <row r="183" customFormat="false" ht="27.75" hidden="false" customHeight="true" outlineLevel="0" collapsed="false">
      <c r="A183" s="5"/>
      <c r="B183" s="69"/>
      <c r="C183" s="64" t="str">
        <f aca="false">IF(B183="","",TEXT(B183,"DDD"))</f>
        <v/>
      </c>
      <c r="D183" s="36"/>
      <c r="E183" s="36"/>
      <c r="F183" s="4"/>
      <c r="G183" s="70"/>
      <c r="H183" s="36"/>
      <c r="I183" s="66" t="n">
        <v>0</v>
      </c>
      <c r="J183" s="71"/>
      <c r="K183" s="72"/>
      <c r="L183" s="72"/>
      <c r="M183" s="72"/>
      <c r="N183" s="72"/>
      <c r="O183" s="72"/>
      <c r="P183" s="4"/>
      <c r="Q183" s="72"/>
      <c r="R183" s="72"/>
      <c r="S183" s="5"/>
    </row>
    <row r="184" customFormat="false" ht="27.75" hidden="false" customHeight="true" outlineLevel="0" collapsed="false">
      <c r="A184" s="13"/>
      <c r="B184" s="63"/>
      <c r="C184" s="64" t="str">
        <f aca="false">IF(B184="","",TEXT(B184,"DDD"))</f>
        <v/>
      </c>
      <c r="D184" s="32"/>
      <c r="E184" s="32"/>
      <c r="F184" s="33"/>
      <c r="G184" s="65"/>
      <c r="H184" s="32"/>
      <c r="I184" s="66" t="n">
        <v>0</v>
      </c>
      <c r="J184" s="67"/>
      <c r="K184" s="68"/>
      <c r="L184" s="68"/>
      <c r="M184" s="68"/>
      <c r="N184" s="68"/>
      <c r="O184" s="68"/>
      <c r="P184" s="33"/>
      <c r="Q184" s="68"/>
      <c r="R184" s="68"/>
      <c r="S184" s="13"/>
    </row>
    <row r="185" customFormat="false" ht="27.75" hidden="false" customHeight="true" outlineLevel="0" collapsed="false">
      <c r="A185" s="5"/>
      <c r="B185" s="69"/>
      <c r="C185" s="64" t="str">
        <f aca="false">IF(B185="","",TEXT(B185,"DDD"))</f>
        <v/>
      </c>
      <c r="D185" s="36"/>
      <c r="E185" s="36"/>
      <c r="F185" s="4"/>
      <c r="G185" s="70"/>
      <c r="H185" s="36"/>
      <c r="I185" s="66" t="n">
        <v>0</v>
      </c>
      <c r="J185" s="71"/>
      <c r="K185" s="72"/>
      <c r="L185" s="72"/>
      <c r="M185" s="72"/>
      <c r="N185" s="72"/>
      <c r="O185" s="72"/>
      <c r="P185" s="4"/>
      <c r="Q185" s="72"/>
      <c r="R185" s="72"/>
      <c r="S185" s="5"/>
    </row>
    <row r="186" customFormat="false" ht="27.75" hidden="false" customHeight="true" outlineLevel="0" collapsed="false">
      <c r="A186" s="13"/>
      <c r="B186" s="63"/>
      <c r="C186" s="64" t="str">
        <f aca="false">IF(B186="","",TEXT(B186,"DDD"))</f>
        <v/>
      </c>
      <c r="D186" s="32"/>
      <c r="E186" s="32"/>
      <c r="F186" s="33"/>
      <c r="G186" s="65"/>
      <c r="H186" s="32"/>
      <c r="I186" s="66" t="n">
        <v>0</v>
      </c>
      <c r="J186" s="67"/>
      <c r="K186" s="68"/>
      <c r="L186" s="68"/>
      <c r="M186" s="68"/>
      <c r="N186" s="68"/>
      <c r="O186" s="68"/>
      <c r="P186" s="33"/>
      <c r="Q186" s="68"/>
      <c r="R186" s="68"/>
      <c r="S186" s="13"/>
    </row>
    <row r="187" customFormat="false" ht="27.75" hidden="false" customHeight="true" outlineLevel="0" collapsed="false">
      <c r="A187" s="5"/>
      <c r="B187" s="69"/>
      <c r="C187" s="64" t="str">
        <f aca="false">IF(B187="","",TEXT(B187,"DDD"))</f>
        <v/>
      </c>
      <c r="D187" s="36"/>
      <c r="E187" s="36"/>
      <c r="F187" s="4"/>
      <c r="G187" s="70"/>
      <c r="H187" s="36"/>
      <c r="I187" s="66" t="n">
        <v>0</v>
      </c>
      <c r="J187" s="71"/>
      <c r="K187" s="72"/>
      <c r="L187" s="72"/>
      <c r="M187" s="72"/>
      <c r="N187" s="72"/>
      <c r="O187" s="72"/>
      <c r="P187" s="4"/>
      <c r="Q187" s="72"/>
      <c r="R187" s="72"/>
      <c r="S187" s="5"/>
    </row>
    <row r="188" customFormat="false" ht="27.75" hidden="false" customHeight="true" outlineLevel="0" collapsed="false">
      <c r="A188" s="13"/>
      <c r="B188" s="63"/>
      <c r="C188" s="64" t="str">
        <f aca="false">IF(B188="","",TEXT(B188,"DDD"))</f>
        <v/>
      </c>
      <c r="D188" s="32"/>
      <c r="E188" s="32"/>
      <c r="F188" s="33"/>
      <c r="G188" s="65"/>
      <c r="H188" s="32"/>
      <c r="I188" s="66" t="n">
        <v>0</v>
      </c>
      <c r="J188" s="67"/>
      <c r="K188" s="68"/>
      <c r="L188" s="68"/>
      <c r="M188" s="68"/>
      <c r="N188" s="68"/>
      <c r="O188" s="68"/>
      <c r="P188" s="33"/>
      <c r="Q188" s="68"/>
      <c r="R188" s="68"/>
      <c r="S188" s="13"/>
    </row>
    <row r="189" customFormat="false" ht="27.75" hidden="false" customHeight="true" outlineLevel="0" collapsed="false">
      <c r="A189" s="5"/>
      <c r="B189" s="69"/>
      <c r="C189" s="64" t="str">
        <f aca="false">IF(B189="","",TEXT(B189,"DDD"))</f>
        <v/>
      </c>
      <c r="D189" s="36"/>
      <c r="E189" s="36"/>
      <c r="F189" s="4"/>
      <c r="G189" s="70"/>
      <c r="H189" s="36"/>
      <c r="I189" s="66" t="n">
        <v>0</v>
      </c>
      <c r="J189" s="71"/>
      <c r="K189" s="72"/>
      <c r="L189" s="72"/>
      <c r="M189" s="72"/>
      <c r="N189" s="72"/>
      <c r="O189" s="72"/>
      <c r="P189" s="4"/>
      <c r="Q189" s="72"/>
      <c r="R189" s="72"/>
      <c r="S189" s="5"/>
    </row>
    <row r="190" customFormat="false" ht="27.75" hidden="false" customHeight="true" outlineLevel="0" collapsed="false">
      <c r="A190" s="13"/>
      <c r="B190" s="63"/>
      <c r="C190" s="64" t="str">
        <f aca="false">IF(B190="","",TEXT(B190,"DDD"))</f>
        <v/>
      </c>
      <c r="D190" s="32"/>
      <c r="E190" s="32"/>
      <c r="F190" s="33"/>
      <c r="G190" s="65"/>
      <c r="H190" s="32"/>
      <c r="I190" s="66" t="n">
        <v>0</v>
      </c>
      <c r="J190" s="67"/>
      <c r="K190" s="68"/>
      <c r="L190" s="68"/>
      <c r="M190" s="68"/>
      <c r="N190" s="68"/>
      <c r="O190" s="68"/>
      <c r="P190" s="33"/>
      <c r="Q190" s="68"/>
      <c r="R190" s="68"/>
      <c r="S190" s="13"/>
    </row>
    <row r="191" customFormat="false" ht="27.75" hidden="false" customHeight="true" outlineLevel="0" collapsed="false">
      <c r="A191" s="5"/>
      <c r="B191" s="69"/>
      <c r="C191" s="64" t="str">
        <f aca="false">IF(B191="","",TEXT(B191,"DDD"))</f>
        <v/>
      </c>
      <c r="D191" s="36"/>
      <c r="E191" s="36"/>
      <c r="F191" s="4"/>
      <c r="G191" s="70"/>
      <c r="H191" s="36"/>
      <c r="I191" s="66" t="n">
        <v>0</v>
      </c>
      <c r="J191" s="71"/>
      <c r="K191" s="72"/>
      <c r="L191" s="72"/>
      <c r="M191" s="72"/>
      <c r="N191" s="72"/>
      <c r="O191" s="72"/>
      <c r="P191" s="4"/>
      <c r="Q191" s="72"/>
      <c r="R191" s="72"/>
      <c r="S191" s="5"/>
    </row>
    <row r="192" customFormat="false" ht="27.75" hidden="false" customHeight="true" outlineLevel="0" collapsed="false">
      <c r="A192" s="13"/>
      <c r="B192" s="63"/>
      <c r="C192" s="64" t="str">
        <f aca="false">IF(B192="","",TEXT(B192,"DDD"))</f>
        <v/>
      </c>
      <c r="D192" s="32"/>
      <c r="E192" s="32"/>
      <c r="F192" s="33"/>
      <c r="G192" s="65"/>
      <c r="H192" s="32"/>
      <c r="I192" s="66" t="n">
        <v>0</v>
      </c>
      <c r="J192" s="67"/>
      <c r="K192" s="68"/>
      <c r="L192" s="68"/>
      <c r="M192" s="68"/>
      <c r="N192" s="68"/>
      <c r="O192" s="68"/>
      <c r="P192" s="33"/>
      <c r="Q192" s="68"/>
      <c r="R192" s="68"/>
      <c r="S192" s="13"/>
    </row>
    <row r="193" customFormat="false" ht="27.75" hidden="false" customHeight="true" outlineLevel="0" collapsed="false">
      <c r="A193" s="5"/>
      <c r="B193" s="69"/>
      <c r="C193" s="64" t="str">
        <f aca="false">IF(B193="","",TEXT(B193,"DDD"))</f>
        <v/>
      </c>
      <c r="D193" s="36"/>
      <c r="E193" s="36"/>
      <c r="F193" s="4"/>
      <c r="G193" s="70"/>
      <c r="H193" s="36"/>
      <c r="I193" s="66" t="n">
        <v>0</v>
      </c>
      <c r="J193" s="71"/>
      <c r="K193" s="72"/>
      <c r="L193" s="72"/>
      <c r="M193" s="72"/>
      <c r="N193" s="72"/>
      <c r="O193" s="72"/>
      <c r="P193" s="4"/>
      <c r="Q193" s="72"/>
      <c r="R193" s="72"/>
      <c r="S193" s="5"/>
    </row>
    <row r="194" customFormat="false" ht="27.75" hidden="false" customHeight="true" outlineLevel="0" collapsed="false">
      <c r="A194" s="13"/>
      <c r="B194" s="63"/>
      <c r="C194" s="64" t="str">
        <f aca="false">IF(B194="","",TEXT(B194,"DDD"))</f>
        <v/>
      </c>
      <c r="D194" s="32"/>
      <c r="E194" s="32"/>
      <c r="F194" s="33"/>
      <c r="G194" s="65"/>
      <c r="H194" s="32"/>
      <c r="I194" s="66" t="n">
        <v>0</v>
      </c>
      <c r="J194" s="67"/>
      <c r="K194" s="68"/>
      <c r="L194" s="68"/>
      <c r="M194" s="68"/>
      <c r="N194" s="68"/>
      <c r="O194" s="68"/>
      <c r="P194" s="33"/>
      <c r="Q194" s="68"/>
      <c r="R194" s="68"/>
      <c r="S194" s="13"/>
    </row>
    <row r="195" customFormat="false" ht="27.75" hidden="false" customHeight="true" outlineLevel="0" collapsed="false">
      <c r="A195" s="5"/>
      <c r="B195" s="69"/>
      <c r="C195" s="64" t="str">
        <f aca="false">IF(B195="","",TEXT(B195,"DDD"))</f>
        <v/>
      </c>
      <c r="D195" s="36"/>
      <c r="E195" s="36"/>
      <c r="F195" s="4"/>
      <c r="G195" s="70"/>
      <c r="H195" s="36"/>
      <c r="I195" s="66" t="n">
        <v>0</v>
      </c>
      <c r="J195" s="71"/>
      <c r="K195" s="72"/>
      <c r="L195" s="72"/>
      <c r="M195" s="72"/>
      <c r="N195" s="72"/>
      <c r="O195" s="72"/>
      <c r="P195" s="4"/>
      <c r="Q195" s="72"/>
      <c r="R195" s="72"/>
      <c r="S195" s="5"/>
    </row>
    <row r="196" customFormat="false" ht="27.75" hidden="false" customHeight="true" outlineLevel="0" collapsed="false">
      <c r="A196" s="13"/>
      <c r="B196" s="63"/>
      <c r="C196" s="64" t="str">
        <f aca="false">IF(B196="","",TEXT(B196,"DDD"))</f>
        <v/>
      </c>
      <c r="D196" s="32"/>
      <c r="E196" s="32"/>
      <c r="F196" s="33"/>
      <c r="G196" s="65"/>
      <c r="H196" s="32"/>
      <c r="I196" s="66" t="n">
        <v>0</v>
      </c>
      <c r="J196" s="67"/>
      <c r="K196" s="68"/>
      <c r="L196" s="68"/>
      <c r="M196" s="68"/>
      <c r="N196" s="68"/>
      <c r="O196" s="68"/>
      <c r="P196" s="33"/>
      <c r="Q196" s="68"/>
      <c r="R196" s="68"/>
      <c r="S196" s="13"/>
    </row>
    <row r="197" customFormat="false" ht="27.75" hidden="false" customHeight="true" outlineLevel="0" collapsed="false">
      <c r="A197" s="5"/>
      <c r="B197" s="69"/>
      <c r="C197" s="64" t="str">
        <f aca="false">IF(B197="","",TEXT(B197,"DDD"))</f>
        <v/>
      </c>
      <c r="D197" s="36"/>
      <c r="E197" s="36"/>
      <c r="F197" s="4"/>
      <c r="G197" s="70"/>
      <c r="H197" s="36"/>
      <c r="I197" s="66" t="n">
        <v>0</v>
      </c>
      <c r="J197" s="71"/>
      <c r="K197" s="72"/>
      <c r="L197" s="72"/>
      <c r="M197" s="72"/>
      <c r="N197" s="72"/>
      <c r="O197" s="72"/>
      <c r="P197" s="4"/>
      <c r="Q197" s="72"/>
      <c r="R197" s="72"/>
      <c r="S197" s="5"/>
    </row>
    <row r="198" customFormat="false" ht="27.75" hidden="false" customHeight="true" outlineLevel="0" collapsed="false">
      <c r="A198" s="13"/>
      <c r="B198" s="63"/>
      <c r="C198" s="64" t="str">
        <f aca="false">IF(B198="","",TEXT(B198,"DDD"))</f>
        <v/>
      </c>
      <c r="D198" s="32"/>
      <c r="E198" s="32"/>
      <c r="F198" s="33"/>
      <c r="G198" s="65"/>
      <c r="H198" s="32"/>
      <c r="I198" s="66" t="n">
        <v>0</v>
      </c>
      <c r="J198" s="67"/>
      <c r="K198" s="68"/>
      <c r="L198" s="68"/>
      <c r="M198" s="68"/>
      <c r="N198" s="68"/>
      <c r="O198" s="68"/>
      <c r="P198" s="33"/>
      <c r="Q198" s="68"/>
      <c r="R198" s="68"/>
      <c r="S198" s="13"/>
    </row>
    <row r="199" customFormat="false" ht="27.75" hidden="false" customHeight="true" outlineLevel="0" collapsed="false">
      <c r="A199" s="5"/>
      <c r="B199" s="69"/>
      <c r="C199" s="64" t="str">
        <f aca="false">IF(B199="","",TEXT(B199,"DDD"))</f>
        <v/>
      </c>
      <c r="D199" s="36"/>
      <c r="E199" s="36"/>
      <c r="F199" s="4"/>
      <c r="G199" s="70"/>
      <c r="H199" s="36"/>
      <c r="I199" s="66" t="n">
        <v>0</v>
      </c>
      <c r="J199" s="71"/>
      <c r="K199" s="72"/>
      <c r="L199" s="72"/>
      <c r="M199" s="72"/>
      <c r="N199" s="72"/>
      <c r="O199" s="72"/>
      <c r="P199" s="4"/>
      <c r="Q199" s="72"/>
      <c r="R199" s="72"/>
      <c r="S199" s="5"/>
    </row>
    <row r="200" customFormat="false" ht="27.75" hidden="false" customHeight="true" outlineLevel="0" collapsed="false">
      <c r="A200" s="13"/>
      <c r="B200" s="63"/>
      <c r="C200" s="64" t="str">
        <f aca="false">IF(B200="","",TEXT(B200,"DDD"))</f>
        <v/>
      </c>
      <c r="D200" s="32"/>
      <c r="E200" s="32"/>
      <c r="F200" s="33"/>
      <c r="G200" s="65"/>
      <c r="H200" s="32"/>
      <c r="I200" s="66" t="n">
        <v>0</v>
      </c>
      <c r="J200" s="67"/>
      <c r="K200" s="68"/>
      <c r="L200" s="68"/>
      <c r="M200" s="68"/>
      <c r="N200" s="68"/>
      <c r="O200" s="68"/>
      <c r="P200" s="33"/>
      <c r="Q200" s="68"/>
      <c r="R200" s="68"/>
      <c r="S200" s="13"/>
    </row>
    <row r="201" customFormat="false" ht="27.75" hidden="false" customHeight="true" outlineLevel="0" collapsed="false">
      <c r="A201" s="5"/>
      <c r="B201" s="69"/>
      <c r="C201" s="64" t="str">
        <f aca="false">IF(B201="","",TEXT(B201,"DDD"))</f>
        <v/>
      </c>
      <c r="D201" s="36"/>
      <c r="E201" s="36"/>
      <c r="F201" s="4"/>
      <c r="G201" s="70"/>
      <c r="H201" s="36"/>
      <c r="I201" s="66" t="n">
        <v>0</v>
      </c>
      <c r="J201" s="71"/>
      <c r="K201" s="72"/>
      <c r="L201" s="72"/>
      <c r="M201" s="72"/>
      <c r="N201" s="72"/>
      <c r="O201" s="72"/>
      <c r="P201" s="4"/>
      <c r="Q201" s="72"/>
      <c r="R201" s="72"/>
      <c r="S201" s="5"/>
    </row>
    <row r="202" customFormat="false" ht="27.75" hidden="false" customHeight="true" outlineLevel="0" collapsed="false">
      <c r="A202" s="13"/>
      <c r="B202" s="63"/>
      <c r="C202" s="64" t="str">
        <f aca="false">IF(B202="","",TEXT(B202,"DDD"))</f>
        <v/>
      </c>
      <c r="D202" s="32"/>
      <c r="E202" s="32"/>
      <c r="F202" s="33"/>
      <c r="G202" s="65"/>
      <c r="H202" s="32"/>
      <c r="I202" s="66" t="n">
        <v>0</v>
      </c>
      <c r="J202" s="67"/>
      <c r="K202" s="68"/>
      <c r="L202" s="68"/>
      <c r="M202" s="68"/>
      <c r="N202" s="68"/>
      <c r="O202" s="68"/>
      <c r="P202" s="33"/>
      <c r="Q202" s="68"/>
      <c r="R202" s="68"/>
      <c r="S202" s="13"/>
    </row>
    <row r="203" customFormat="false" ht="27.75" hidden="false" customHeight="true" outlineLevel="0" collapsed="false">
      <c r="A203" s="5"/>
      <c r="B203" s="69"/>
      <c r="C203" s="64" t="str">
        <f aca="false">IF(B203="","",TEXT(B203,"DDD"))</f>
        <v/>
      </c>
      <c r="D203" s="36"/>
      <c r="E203" s="36"/>
      <c r="F203" s="4"/>
      <c r="G203" s="70"/>
      <c r="H203" s="36"/>
      <c r="I203" s="66" t="n">
        <v>0</v>
      </c>
      <c r="J203" s="71"/>
      <c r="K203" s="72"/>
      <c r="L203" s="72"/>
      <c r="M203" s="72"/>
      <c r="N203" s="72"/>
      <c r="O203" s="72"/>
      <c r="P203" s="4"/>
      <c r="Q203" s="72"/>
      <c r="R203" s="72"/>
      <c r="S203" s="5"/>
    </row>
    <row r="204" customFormat="false" ht="27.75" hidden="false" customHeight="true" outlineLevel="0" collapsed="false">
      <c r="A204" s="13"/>
      <c r="B204" s="63"/>
      <c r="C204" s="64" t="str">
        <f aca="false">IF(B204="","",TEXT(B204,"DDD"))</f>
        <v/>
      </c>
      <c r="D204" s="32"/>
      <c r="E204" s="32"/>
      <c r="F204" s="33"/>
      <c r="G204" s="65"/>
      <c r="H204" s="32"/>
      <c r="I204" s="66" t="n">
        <v>0</v>
      </c>
      <c r="J204" s="67"/>
      <c r="K204" s="68"/>
      <c r="L204" s="68"/>
      <c r="M204" s="68"/>
      <c r="N204" s="68"/>
      <c r="O204" s="68"/>
      <c r="P204" s="33"/>
      <c r="Q204" s="68"/>
      <c r="R204" s="68"/>
      <c r="S204" s="13"/>
    </row>
    <row r="205" customFormat="false" ht="27.75" hidden="false" customHeight="true" outlineLevel="0" collapsed="false">
      <c r="A205" s="5"/>
      <c r="B205" s="69"/>
      <c r="C205" s="64" t="str">
        <f aca="false">IF(B205="","",TEXT(B205,"DDD"))</f>
        <v/>
      </c>
      <c r="D205" s="36"/>
      <c r="E205" s="36"/>
      <c r="F205" s="4"/>
      <c r="G205" s="70"/>
      <c r="H205" s="36"/>
      <c r="I205" s="66" t="n">
        <v>0</v>
      </c>
      <c r="J205" s="71"/>
      <c r="K205" s="72"/>
      <c r="L205" s="72"/>
      <c r="M205" s="72"/>
      <c r="N205" s="72"/>
      <c r="O205" s="72"/>
      <c r="P205" s="4"/>
      <c r="Q205" s="72"/>
      <c r="R205" s="72"/>
      <c r="S205" s="5"/>
    </row>
    <row r="206" customFormat="false" ht="27.75" hidden="false" customHeight="true" outlineLevel="0" collapsed="false">
      <c r="A206" s="13"/>
      <c r="B206" s="63"/>
      <c r="C206" s="64" t="str">
        <f aca="false">IF(B206="","",TEXT(B206,"DDD"))</f>
        <v/>
      </c>
      <c r="D206" s="32"/>
      <c r="E206" s="32"/>
      <c r="F206" s="33"/>
      <c r="G206" s="65"/>
      <c r="H206" s="32"/>
      <c r="I206" s="66" t="n">
        <v>0</v>
      </c>
      <c r="J206" s="67"/>
      <c r="K206" s="68"/>
      <c r="L206" s="68"/>
      <c r="M206" s="68"/>
      <c r="N206" s="68"/>
      <c r="O206" s="68"/>
      <c r="P206" s="33"/>
      <c r="Q206" s="68"/>
      <c r="R206" s="68"/>
      <c r="S206" s="13"/>
    </row>
    <row r="207" customFormat="false" ht="27.75" hidden="false" customHeight="true" outlineLevel="0" collapsed="false">
      <c r="A207" s="5"/>
      <c r="B207" s="69"/>
      <c r="C207" s="64" t="str">
        <f aca="false">IF(B207="","",TEXT(B207,"DDD"))</f>
        <v/>
      </c>
      <c r="D207" s="36"/>
      <c r="E207" s="36"/>
      <c r="F207" s="4"/>
      <c r="G207" s="70"/>
      <c r="H207" s="36"/>
      <c r="I207" s="66" t="n">
        <v>0</v>
      </c>
      <c r="J207" s="71"/>
      <c r="K207" s="72"/>
      <c r="L207" s="72"/>
      <c r="M207" s="72"/>
      <c r="N207" s="72"/>
      <c r="O207" s="72"/>
      <c r="P207" s="4"/>
      <c r="Q207" s="72"/>
      <c r="R207" s="72"/>
      <c r="S207" s="5"/>
    </row>
    <row r="208" customFormat="false" ht="27.75" hidden="false" customHeight="true" outlineLevel="0" collapsed="false">
      <c r="A208" s="13"/>
      <c r="B208" s="63"/>
      <c r="C208" s="64" t="str">
        <f aca="false">IF(B208="","",TEXT(B208,"DDD"))</f>
        <v/>
      </c>
      <c r="D208" s="32"/>
      <c r="E208" s="32"/>
      <c r="F208" s="33"/>
      <c r="G208" s="65"/>
      <c r="H208" s="32"/>
      <c r="I208" s="66" t="n">
        <v>0</v>
      </c>
      <c r="J208" s="67"/>
      <c r="K208" s="68"/>
      <c r="L208" s="68"/>
      <c r="M208" s="68"/>
      <c r="N208" s="68"/>
      <c r="O208" s="68"/>
      <c r="P208" s="33"/>
      <c r="Q208" s="68"/>
      <c r="R208" s="68"/>
      <c r="S208" s="13"/>
    </row>
    <row r="209" customFormat="false" ht="27.75" hidden="false" customHeight="true" outlineLevel="0" collapsed="false">
      <c r="A209" s="5"/>
      <c r="B209" s="69"/>
      <c r="C209" s="64" t="str">
        <f aca="false">IF(B209="","",TEXT(B209,"DDD"))</f>
        <v/>
      </c>
      <c r="D209" s="36"/>
      <c r="E209" s="36"/>
      <c r="F209" s="4"/>
      <c r="G209" s="70"/>
      <c r="H209" s="36"/>
      <c r="I209" s="66" t="n">
        <v>0</v>
      </c>
      <c r="J209" s="71"/>
      <c r="K209" s="72"/>
      <c r="L209" s="72"/>
      <c r="M209" s="72"/>
      <c r="N209" s="72"/>
      <c r="O209" s="72"/>
      <c r="P209" s="4"/>
      <c r="Q209" s="72"/>
      <c r="R209" s="72"/>
      <c r="S209" s="5"/>
    </row>
    <row r="210" customFormat="false" ht="27.75" hidden="false" customHeight="true" outlineLevel="0" collapsed="false">
      <c r="A210" s="13"/>
      <c r="B210" s="63"/>
      <c r="C210" s="64" t="str">
        <f aca="false">IF(B210="","",TEXT(B210,"DDD"))</f>
        <v/>
      </c>
      <c r="D210" s="32"/>
      <c r="E210" s="32"/>
      <c r="F210" s="33"/>
      <c r="G210" s="65"/>
      <c r="H210" s="32"/>
      <c r="I210" s="66" t="n">
        <v>0</v>
      </c>
      <c r="J210" s="67"/>
      <c r="K210" s="68"/>
      <c r="L210" s="68"/>
      <c r="M210" s="68"/>
      <c r="N210" s="68"/>
      <c r="O210" s="68"/>
      <c r="P210" s="33"/>
      <c r="Q210" s="68"/>
      <c r="R210" s="68"/>
      <c r="S210" s="13"/>
    </row>
    <row r="211" customFormat="false" ht="27.75" hidden="false" customHeight="true" outlineLevel="0" collapsed="false">
      <c r="A211" s="5"/>
      <c r="B211" s="69"/>
      <c r="C211" s="64" t="str">
        <f aca="false">IF(B211="","",TEXT(B211,"DDD"))</f>
        <v/>
      </c>
      <c r="D211" s="36"/>
      <c r="E211" s="36"/>
      <c r="F211" s="4"/>
      <c r="G211" s="70"/>
      <c r="H211" s="36"/>
      <c r="I211" s="66" t="n">
        <v>0</v>
      </c>
      <c r="J211" s="71"/>
      <c r="K211" s="72"/>
      <c r="L211" s="72"/>
      <c r="M211" s="72"/>
      <c r="N211" s="72"/>
      <c r="O211" s="72"/>
      <c r="P211" s="4"/>
      <c r="Q211" s="72"/>
      <c r="R211" s="72"/>
      <c r="S211" s="5"/>
    </row>
    <row r="212" customFormat="false" ht="27.75" hidden="false" customHeight="true" outlineLevel="0" collapsed="false">
      <c r="A212" s="13"/>
      <c r="B212" s="63"/>
      <c r="C212" s="64" t="str">
        <f aca="false">IF(B212="","",TEXT(B212,"DDD"))</f>
        <v/>
      </c>
      <c r="D212" s="32"/>
      <c r="E212" s="32"/>
      <c r="F212" s="33"/>
      <c r="G212" s="65"/>
      <c r="H212" s="32"/>
      <c r="I212" s="66" t="n">
        <v>0</v>
      </c>
      <c r="J212" s="67"/>
      <c r="K212" s="68"/>
      <c r="L212" s="68"/>
      <c r="M212" s="68"/>
      <c r="N212" s="68"/>
      <c r="O212" s="68"/>
      <c r="P212" s="33"/>
      <c r="Q212" s="68"/>
      <c r="R212" s="68"/>
      <c r="S212" s="13"/>
    </row>
    <row r="213" customFormat="false" ht="27.75" hidden="false" customHeight="true" outlineLevel="0" collapsed="false">
      <c r="A213" s="5"/>
      <c r="B213" s="69"/>
      <c r="C213" s="64" t="str">
        <f aca="false">IF(B213="","",TEXT(B213,"DDD"))</f>
        <v/>
      </c>
      <c r="D213" s="36"/>
      <c r="E213" s="36"/>
      <c r="F213" s="4"/>
      <c r="G213" s="70"/>
      <c r="H213" s="36"/>
      <c r="I213" s="66" t="n">
        <v>0</v>
      </c>
      <c r="J213" s="71"/>
      <c r="K213" s="72"/>
      <c r="L213" s="72"/>
      <c r="M213" s="72"/>
      <c r="N213" s="72"/>
      <c r="O213" s="72"/>
      <c r="P213" s="4"/>
      <c r="Q213" s="72"/>
      <c r="R213" s="72"/>
      <c r="S213" s="5"/>
    </row>
    <row r="214" customFormat="false" ht="27.75" hidden="false" customHeight="true" outlineLevel="0" collapsed="false">
      <c r="A214" s="13"/>
      <c r="B214" s="63"/>
      <c r="C214" s="64" t="str">
        <f aca="false">IF(B214="","",TEXT(B214,"DDD"))</f>
        <v/>
      </c>
      <c r="D214" s="32"/>
      <c r="E214" s="32"/>
      <c r="F214" s="33"/>
      <c r="G214" s="65"/>
      <c r="H214" s="32"/>
      <c r="I214" s="66" t="n">
        <v>0</v>
      </c>
      <c r="J214" s="67"/>
      <c r="K214" s="68"/>
      <c r="L214" s="68"/>
      <c r="M214" s="68"/>
      <c r="N214" s="68"/>
      <c r="O214" s="68"/>
      <c r="P214" s="33"/>
      <c r="Q214" s="68"/>
      <c r="R214" s="68"/>
      <c r="S214" s="13"/>
    </row>
    <row r="215" customFormat="false" ht="27.75" hidden="false" customHeight="true" outlineLevel="0" collapsed="false">
      <c r="A215" s="5"/>
      <c r="B215" s="69"/>
      <c r="C215" s="64" t="str">
        <f aca="false">IF(B215="","",TEXT(B215,"DDD"))</f>
        <v/>
      </c>
      <c r="D215" s="36"/>
      <c r="E215" s="36"/>
      <c r="F215" s="4"/>
      <c r="G215" s="70"/>
      <c r="H215" s="36"/>
      <c r="I215" s="66" t="n">
        <v>0</v>
      </c>
      <c r="J215" s="71"/>
      <c r="K215" s="72"/>
      <c r="L215" s="72"/>
      <c r="M215" s="72"/>
      <c r="N215" s="72"/>
      <c r="O215" s="72"/>
      <c r="P215" s="4"/>
      <c r="Q215" s="72"/>
      <c r="R215" s="72"/>
      <c r="S215" s="5"/>
    </row>
    <row r="216" customFormat="false" ht="27.75" hidden="false" customHeight="true" outlineLevel="0" collapsed="false">
      <c r="A216" s="13"/>
      <c r="B216" s="63"/>
      <c r="C216" s="64" t="str">
        <f aca="false">IF(B216="","",TEXT(B216,"DDD"))</f>
        <v/>
      </c>
      <c r="D216" s="32"/>
      <c r="E216" s="32"/>
      <c r="F216" s="33"/>
      <c r="G216" s="65"/>
      <c r="H216" s="32"/>
      <c r="I216" s="66" t="n">
        <v>0</v>
      </c>
      <c r="J216" s="67"/>
      <c r="K216" s="68"/>
      <c r="L216" s="68"/>
      <c r="M216" s="68"/>
      <c r="N216" s="68"/>
      <c r="O216" s="68"/>
      <c r="P216" s="33"/>
      <c r="Q216" s="68"/>
      <c r="R216" s="68"/>
      <c r="S216" s="13"/>
    </row>
    <row r="217" customFormat="false" ht="27.75" hidden="false" customHeight="true" outlineLevel="0" collapsed="false">
      <c r="A217" s="5"/>
      <c r="B217" s="69"/>
      <c r="C217" s="64" t="str">
        <f aca="false">IF(B217="","",TEXT(B217,"DDD"))</f>
        <v/>
      </c>
      <c r="D217" s="36"/>
      <c r="E217" s="36"/>
      <c r="F217" s="4"/>
      <c r="G217" s="70"/>
      <c r="H217" s="36"/>
      <c r="I217" s="66" t="n">
        <v>0</v>
      </c>
      <c r="J217" s="71"/>
      <c r="K217" s="72"/>
      <c r="L217" s="72"/>
      <c r="M217" s="72"/>
      <c r="N217" s="72"/>
      <c r="O217" s="72"/>
      <c r="P217" s="4"/>
      <c r="Q217" s="72"/>
      <c r="R217" s="72"/>
      <c r="S217" s="5"/>
    </row>
    <row r="218" customFormat="false" ht="27.75" hidden="false" customHeight="true" outlineLevel="0" collapsed="false">
      <c r="A218" s="13"/>
      <c r="B218" s="63"/>
      <c r="C218" s="64" t="str">
        <f aca="false">IF(B218="","",TEXT(B218,"DDD"))</f>
        <v/>
      </c>
      <c r="D218" s="32"/>
      <c r="E218" s="32"/>
      <c r="F218" s="33"/>
      <c r="G218" s="65"/>
      <c r="H218" s="32"/>
      <c r="I218" s="66" t="n">
        <v>0</v>
      </c>
      <c r="J218" s="67"/>
      <c r="K218" s="68"/>
      <c r="L218" s="68"/>
      <c r="M218" s="68"/>
      <c r="N218" s="68"/>
      <c r="O218" s="68"/>
      <c r="P218" s="33"/>
      <c r="Q218" s="68"/>
      <c r="R218" s="68"/>
      <c r="S218" s="13"/>
    </row>
    <row r="219" customFormat="false" ht="27.75" hidden="false" customHeight="true" outlineLevel="0" collapsed="false">
      <c r="A219" s="5"/>
      <c r="B219" s="69"/>
      <c r="C219" s="64" t="str">
        <f aca="false">IF(B219="","",TEXT(B219,"DDD"))</f>
        <v/>
      </c>
      <c r="D219" s="36"/>
      <c r="E219" s="36"/>
      <c r="F219" s="4"/>
      <c r="G219" s="70"/>
      <c r="H219" s="36"/>
      <c r="I219" s="66" t="n">
        <v>0</v>
      </c>
      <c r="J219" s="71"/>
      <c r="K219" s="72"/>
      <c r="L219" s="72"/>
      <c r="M219" s="72"/>
      <c r="N219" s="72"/>
      <c r="O219" s="72"/>
      <c r="P219" s="4"/>
      <c r="Q219" s="72"/>
      <c r="R219" s="72"/>
      <c r="S219" s="5"/>
    </row>
    <row r="220" customFormat="false" ht="27.75" hidden="false" customHeight="true" outlineLevel="0" collapsed="false">
      <c r="A220" s="13"/>
      <c r="B220" s="63"/>
      <c r="C220" s="64" t="str">
        <f aca="false">IF(B220="","",TEXT(B220,"DDD"))</f>
        <v/>
      </c>
      <c r="D220" s="32"/>
      <c r="E220" s="32"/>
      <c r="F220" s="33"/>
      <c r="G220" s="65"/>
      <c r="H220" s="32"/>
      <c r="I220" s="66" t="n">
        <v>0</v>
      </c>
      <c r="J220" s="67"/>
      <c r="K220" s="68"/>
      <c r="L220" s="68"/>
      <c r="M220" s="68"/>
      <c r="N220" s="68"/>
      <c r="O220" s="68"/>
      <c r="P220" s="33"/>
      <c r="Q220" s="68"/>
      <c r="R220" s="68"/>
      <c r="S220" s="13"/>
    </row>
    <row r="221" customFormat="false" ht="27.75" hidden="false" customHeight="true" outlineLevel="0" collapsed="false">
      <c r="A221" s="5"/>
      <c r="B221" s="69"/>
      <c r="C221" s="64" t="str">
        <f aca="false">IF(B221="","",TEXT(B221,"DDD"))</f>
        <v/>
      </c>
      <c r="D221" s="36"/>
      <c r="E221" s="36"/>
      <c r="F221" s="4"/>
      <c r="G221" s="70"/>
      <c r="H221" s="36"/>
      <c r="I221" s="66" t="n">
        <v>0</v>
      </c>
      <c r="J221" s="71"/>
      <c r="K221" s="72"/>
      <c r="L221" s="72"/>
      <c r="M221" s="72"/>
      <c r="N221" s="72"/>
      <c r="O221" s="72"/>
      <c r="P221" s="4"/>
      <c r="Q221" s="72"/>
      <c r="R221" s="72"/>
      <c r="S221" s="5"/>
    </row>
    <row r="222" customFormat="false" ht="27.75" hidden="false" customHeight="true" outlineLevel="0" collapsed="false">
      <c r="A222" s="13"/>
      <c r="B222" s="63"/>
      <c r="C222" s="64" t="str">
        <f aca="false">IF(B222="","",TEXT(B222,"DDD"))</f>
        <v/>
      </c>
      <c r="D222" s="32"/>
      <c r="E222" s="32"/>
      <c r="F222" s="33"/>
      <c r="G222" s="65"/>
      <c r="H222" s="32"/>
      <c r="I222" s="66" t="n">
        <v>0</v>
      </c>
      <c r="J222" s="67"/>
      <c r="K222" s="68"/>
      <c r="L222" s="68"/>
      <c r="M222" s="68"/>
      <c r="N222" s="68"/>
      <c r="O222" s="68"/>
      <c r="P222" s="33"/>
      <c r="Q222" s="68"/>
      <c r="R222" s="68"/>
      <c r="S222" s="13"/>
    </row>
    <row r="223" customFormat="false" ht="27.75" hidden="false" customHeight="true" outlineLevel="0" collapsed="false">
      <c r="A223" s="5"/>
      <c r="B223" s="69"/>
      <c r="C223" s="64" t="str">
        <f aca="false">IF(B223="","",TEXT(B223,"DDD"))</f>
        <v/>
      </c>
      <c r="D223" s="36"/>
      <c r="E223" s="36"/>
      <c r="F223" s="4"/>
      <c r="G223" s="70"/>
      <c r="H223" s="36"/>
      <c r="I223" s="66" t="n">
        <v>0</v>
      </c>
      <c r="J223" s="71"/>
      <c r="K223" s="72"/>
      <c r="L223" s="72"/>
      <c r="M223" s="72"/>
      <c r="N223" s="72"/>
      <c r="O223" s="72"/>
      <c r="P223" s="4"/>
      <c r="Q223" s="72"/>
      <c r="R223" s="72"/>
      <c r="S223" s="5"/>
    </row>
    <row r="224" customFormat="false" ht="27.75" hidden="false" customHeight="true" outlineLevel="0" collapsed="false">
      <c r="A224" s="13"/>
      <c r="B224" s="63"/>
      <c r="C224" s="64" t="str">
        <f aca="false">IF(B224="","",TEXT(B224,"DDD"))</f>
        <v/>
      </c>
      <c r="D224" s="32"/>
      <c r="E224" s="32"/>
      <c r="F224" s="33"/>
      <c r="G224" s="65"/>
      <c r="H224" s="32"/>
      <c r="I224" s="66" t="n">
        <v>0</v>
      </c>
      <c r="J224" s="67"/>
      <c r="K224" s="68"/>
      <c r="L224" s="68"/>
      <c r="M224" s="68"/>
      <c r="N224" s="68"/>
      <c r="O224" s="68"/>
      <c r="P224" s="33"/>
      <c r="Q224" s="68"/>
      <c r="R224" s="68"/>
      <c r="S224" s="13"/>
    </row>
    <row r="225" customFormat="false" ht="27.75" hidden="false" customHeight="true" outlineLevel="0" collapsed="false">
      <c r="A225" s="5"/>
      <c r="B225" s="69"/>
      <c r="C225" s="64" t="str">
        <f aca="false">IF(B225="","",TEXT(B225,"DDD"))</f>
        <v/>
      </c>
      <c r="D225" s="36"/>
      <c r="E225" s="36"/>
      <c r="F225" s="4"/>
      <c r="G225" s="70"/>
      <c r="H225" s="36"/>
      <c r="I225" s="66" t="n">
        <v>0</v>
      </c>
      <c r="J225" s="71"/>
      <c r="K225" s="72"/>
      <c r="L225" s="72"/>
      <c r="M225" s="72"/>
      <c r="N225" s="72"/>
      <c r="O225" s="72"/>
      <c r="P225" s="4"/>
      <c r="Q225" s="72"/>
      <c r="R225" s="72"/>
      <c r="S225" s="5"/>
    </row>
    <row r="226" customFormat="false" ht="27.75" hidden="false" customHeight="true" outlineLevel="0" collapsed="false">
      <c r="A226" s="13"/>
      <c r="B226" s="63"/>
      <c r="C226" s="64" t="str">
        <f aca="false">IF(B226="","",TEXT(B226,"DDD"))</f>
        <v/>
      </c>
      <c r="D226" s="32"/>
      <c r="E226" s="32"/>
      <c r="F226" s="33"/>
      <c r="G226" s="65"/>
      <c r="H226" s="32"/>
      <c r="I226" s="66" t="n">
        <v>0</v>
      </c>
      <c r="J226" s="67"/>
      <c r="K226" s="68"/>
      <c r="L226" s="68"/>
      <c r="M226" s="68"/>
      <c r="N226" s="68"/>
      <c r="O226" s="68"/>
      <c r="P226" s="33"/>
      <c r="Q226" s="68"/>
      <c r="R226" s="68"/>
      <c r="S226" s="13"/>
    </row>
    <row r="227" customFormat="false" ht="27.75" hidden="false" customHeight="true" outlineLevel="0" collapsed="false">
      <c r="A227" s="5"/>
      <c r="B227" s="69"/>
      <c r="C227" s="64" t="str">
        <f aca="false">IF(B227="","",TEXT(B227,"DDD"))</f>
        <v/>
      </c>
      <c r="D227" s="36"/>
      <c r="E227" s="36"/>
      <c r="F227" s="4"/>
      <c r="G227" s="70"/>
      <c r="H227" s="36"/>
      <c r="I227" s="66" t="n">
        <v>0</v>
      </c>
      <c r="J227" s="71"/>
      <c r="K227" s="72"/>
      <c r="L227" s="72"/>
      <c r="M227" s="72"/>
      <c r="N227" s="72"/>
      <c r="O227" s="72"/>
      <c r="P227" s="4"/>
      <c r="Q227" s="72"/>
      <c r="R227" s="72"/>
      <c r="S227" s="5"/>
    </row>
    <row r="228" customFormat="false" ht="27.75" hidden="false" customHeight="true" outlineLevel="0" collapsed="false">
      <c r="A228" s="13"/>
      <c r="B228" s="63"/>
      <c r="C228" s="64" t="str">
        <f aca="false">IF(B228="","",TEXT(B228,"DDD"))</f>
        <v/>
      </c>
      <c r="D228" s="32"/>
      <c r="E228" s="32"/>
      <c r="F228" s="33"/>
      <c r="G228" s="65"/>
      <c r="H228" s="32"/>
      <c r="I228" s="66" t="n">
        <v>0</v>
      </c>
      <c r="J228" s="67"/>
      <c r="K228" s="68"/>
      <c r="L228" s="68"/>
      <c r="M228" s="68"/>
      <c r="N228" s="68"/>
      <c r="O228" s="68"/>
      <c r="P228" s="33"/>
      <c r="Q228" s="68"/>
      <c r="R228" s="68"/>
      <c r="S228" s="13"/>
    </row>
    <row r="229" customFormat="false" ht="27.75" hidden="false" customHeight="true" outlineLevel="0" collapsed="false">
      <c r="A229" s="5"/>
      <c r="B229" s="69"/>
      <c r="C229" s="64" t="str">
        <f aca="false">IF(B229="","",TEXT(B229,"DDD"))</f>
        <v/>
      </c>
      <c r="D229" s="36"/>
      <c r="E229" s="36"/>
      <c r="F229" s="4"/>
      <c r="G229" s="70"/>
      <c r="H229" s="36"/>
      <c r="I229" s="66" t="n">
        <v>0</v>
      </c>
      <c r="J229" s="71"/>
      <c r="K229" s="72"/>
      <c r="L229" s="72"/>
      <c r="M229" s="72"/>
      <c r="N229" s="72"/>
      <c r="O229" s="72"/>
      <c r="P229" s="4"/>
      <c r="Q229" s="72"/>
      <c r="R229" s="72"/>
      <c r="S229" s="5"/>
    </row>
    <row r="230" customFormat="false" ht="27.75" hidden="false" customHeight="true" outlineLevel="0" collapsed="false">
      <c r="A230" s="13"/>
      <c r="B230" s="63"/>
      <c r="C230" s="64" t="str">
        <f aca="false">IF(B230="","",TEXT(B230,"DDD"))</f>
        <v/>
      </c>
      <c r="D230" s="32"/>
      <c r="E230" s="32"/>
      <c r="F230" s="33"/>
      <c r="G230" s="65"/>
      <c r="H230" s="32"/>
      <c r="I230" s="66" t="n">
        <v>0</v>
      </c>
      <c r="J230" s="67"/>
      <c r="K230" s="68"/>
      <c r="L230" s="68"/>
      <c r="M230" s="68"/>
      <c r="N230" s="68"/>
      <c r="O230" s="68"/>
      <c r="P230" s="33"/>
      <c r="Q230" s="68"/>
      <c r="R230" s="68"/>
      <c r="S230" s="13"/>
    </row>
    <row r="231" customFormat="false" ht="27.75" hidden="false" customHeight="true" outlineLevel="0" collapsed="false">
      <c r="A231" s="5"/>
      <c r="B231" s="69"/>
      <c r="C231" s="64" t="str">
        <f aca="false">IF(B231="","",TEXT(B231,"DDD"))</f>
        <v/>
      </c>
      <c r="D231" s="36"/>
      <c r="E231" s="36"/>
      <c r="F231" s="4"/>
      <c r="G231" s="70"/>
      <c r="H231" s="36"/>
      <c r="I231" s="66" t="n">
        <v>0</v>
      </c>
      <c r="J231" s="71"/>
      <c r="K231" s="72"/>
      <c r="L231" s="72"/>
      <c r="M231" s="72"/>
      <c r="N231" s="72"/>
      <c r="O231" s="72"/>
      <c r="P231" s="4"/>
      <c r="Q231" s="72"/>
      <c r="R231" s="72"/>
      <c r="S231" s="5"/>
    </row>
    <row r="232" customFormat="false" ht="27.75" hidden="false" customHeight="true" outlineLevel="0" collapsed="false">
      <c r="A232" s="13"/>
      <c r="B232" s="63"/>
      <c r="C232" s="64" t="str">
        <f aca="false">IF(B232="","",TEXT(B232,"DDD"))</f>
        <v/>
      </c>
      <c r="D232" s="32"/>
      <c r="E232" s="32"/>
      <c r="F232" s="33"/>
      <c r="G232" s="65"/>
      <c r="H232" s="32"/>
      <c r="I232" s="66" t="n">
        <v>0</v>
      </c>
      <c r="J232" s="67"/>
      <c r="K232" s="68"/>
      <c r="L232" s="68"/>
      <c r="M232" s="68"/>
      <c r="N232" s="68"/>
      <c r="O232" s="68"/>
      <c r="P232" s="33"/>
      <c r="Q232" s="68"/>
      <c r="R232" s="68"/>
      <c r="S232" s="13"/>
    </row>
    <row r="233" customFormat="false" ht="27.75" hidden="false" customHeight="true" outlineLevel="0" collapsed="false">
      <c r="A233" s="5"/>
      <c r="B233" s="69"/>
      <c r="C233" s="64" t="str">
        <f aca="false">IF(B233="","",TEXT(B233,"DDD"))</f>
        <v/>
      </c>
      <c r="D233" s="36"/>
      <c r="E233" s="36"/>
      <c r="F233" s="4"/>
      <c r="G233" s="70"/>
      <c r="H233" s="36"/>
      <c r="I233" s="66" t="n">
        <v>0</v>
      </c>
      <c r="J233" s="71"/>
      <c r="K233" s="72"/>
      <c r="L233" s="72"/>
      <c r="M233" s="72"/>
      <c r="N233" s="72"/>
      <c r="O233" s="72"/>
      <c r="P233" s="4"/>
      <c r="Q233" s="72"/>
      <c r="R233" s="72"/>
      <c r="S233" s="5"/>
    </row>
    <row r="234" customFormat="false" ht="27.75" hidden="false" customHeight="true" outlineLevel="0" collapsed="false">
      <c r="A234" s="13"/>
      <c r="B234" s="63"/>
      <c r="C234" s="64" t="str">
        <f aca="false">IF(B234="","",TEXT(B234,"DDD"))</f>
        <v/>
      </c>
      <c r="D234" s="32"/>
      <c r="E234" s="32"/>
      <c r="F234" s="33"/>
      <c r="G234" s="65"/>
      <c r="H234" s="32"/>
      <c r="I234" s="66" t="n">
        <v>0</v>
      </c>
      <c r="J234" s="67"/>
      <c r="K234" s="68"/>
      <c r="L234" s="68"/>
      <c r="M234" s="68"/>
      <c r="N234" s="68"/>
      <c r="O234" s="68"/>
      <c r="P234" s="33"/>
      <c r="Q234" s="68"/>
      <c r="R234" s="68"/>
      <c r="S234" s="13"/>
    </row>
    <row r="235" customFormat="false" ht="27.75" hidden="false" customHeight="true" outlineLevel="0" collapsed="false">
      <c r="A235" s="5"/>
      <c r="B235" s="69"/>
      <c r="C235" s="64" t="str">
        <f aca="false">IF(B235="","",TEXT(B235,"DDD"))</f>
        <v/>
      </c>
      <c r="D235" s="36"/>
      <c r="E235" s="36"/>
      <c r="F235" s="4"/>
      <c r="G235" s="70"/>
      <c r="H235" s="36"/>
      <c r="I235" s="66" t="n">
        <v>0</v>
      </c>
      <c r="J235" s="71"/>
      <c r="K235" s="72"/>
      <c r="L235" s="72"/>
      <c r="M235" s="72"/>
      <c r="N235" s="72"/>
      <c r="O235" s="72"/>
      <c r="P235" s="4"/>
      <c r="Q235" s="72"/>
      <c r="R235" s="72"/>
      <c r="S235" s="5"/>
    </row>
    <row r="236" customFormat="false" ht="27.75" hidden="false" customHeight="true" outlineLevel="0" collapsed="false">
      <c r="A236" s="13"/>
      <c r="B236" s="63"/>
      <c r="C236" s="64" t="str">
        <f aca="false">IF(B236="","",TEXT(B236,"DDD"))</f>
        <v/>
      </c>
      <c r="D236" s="32"/>
      <c r="E236" s="32"/>
      <c r="F236" s="33"/>
      <c r="G236" s="65"/>
      <c r="H236" s="32"/>
      <c r="I236" s="66" t="n">
        <v>0</v>
      </c>
      <c r="J236" s="67"/>
      <c r="K236" s="68"/>
      <c r="L236" s="68"/>
      <c r="M236" s="68"/>
      <c r="N236" s="68"/>
      <c r="O236" s="68"/>
      <c r="P236" s="33"/>
      <c r="Q236" s="68"/>
      <c r="R236" s="68"/>
      <c r="S236" s="13"/>
    </row>
    <row r="237" customFormat="false" ht="27.75" hidden="false" customHeight="true" outlineLevel="0" collapsed="false">
      <c r="A237" s="5"/>
      <c r="B237" s="69"/>
      <c r="C237" s="64" t="str">
        <f aca="false">IF(B237="","",TEXT(B237,"DDD"))</f>
        <v/>
      </c>
      <c r="D237" s="36"/>
      <c r="E237" s="36"/>
      <c r="F237" s="4"/>
      <c r="G237" s="70"/>
      <c r="H237" s="36"/>
      <c r="I237" s="66" t="n">
        <v>0</v>
      </c>
      <c r="J237" s="71"/>
      <c r="K237" s="72"/>
      <c r="L237" s="72"/>
      <c r="M237" s="72"/>
      <c r="N237" s="72"/>
      <c r="O237" s="72"/>
      <c r="P237" s="4"/>
      <c r="Q237" s="72"/>
      <c r="R237" s="72"/>
      <c r="S237" s="5"/>
    </row>
    <row r="238" customFormat="false" ht="27.75" hidden="false" customHeight="true" outlineLevel="0" collapsed="false">
      <c r="A238" s="13"/>
      <c r="B238" s="63"/>
      <c r="C238" s="64" t="str">
        <f aca="false">IF(B238="","",TEXT(B238,"DDD"))</f>
        <v/>
      </c>
      <c r="D238" s="32"/>
      <c r="E238" s="32"/>
      <c r="F238" s="33"/>
      <c r="G238" s="65"/>
      <c r="H238" s="32"/>
      <c r="I238" s="66" t="n">
        <v>0</v>
      </c>
      <c r="J238" s="67"/>
      <c r="K238" s="68"/>
      <c r="L238" s="68"/>
      <c r="M238" s="68"/>
      <c r="N238" s="68"/>
      <c r="O238" s="68"/>
      <c r="P238" s="33"/>
      <c r="Q238" s="68"/>
      <c r="R238" s="68"/>
      <c r="S238" s="13"/>
    </row>
    <row r="239" customFormat="false" ht="27.75" hidden="false" customHeight="true" outlineLevel="0" collapsed="false">
      <c r="A239" s="5"/>
      <c r="B239" s="69"/>
      <c r="C239" s="64" t="str">
        <f aca="false">IF(B239="","",TEXT(B239,"DDD"))</f>
        <v/>
      </c>
      <c r="D239" s="36"/>
      <c r="E239" s="36"/>
      <c r="F239" s="4"/>
      <c r="G239" s="70"/>
      <c r="H239" s="36"/>
      <c r="I239" s="66" t="n">
        <v>0</v>
      </c>
      <c r="J239" s="71"/>
      <c r="K239" s="72"/>
      <c r="L239" s="72"/>
      <c r="M239" s="72"/>
      <c r="N239" s="72"/>
      <c r="O239" s="72"/>
      <c r="P239" s="4"/>
      <c r="Q239" s="72"/>
      <c r="R239" s="72"/>
      <c r="S239" s="5"/>
    </row>
    <row r="240" customFormat="false" ht="27.75" hidden="false" customHeight="true" outlineLevel="0" collapsed="false">
      <c r="A240" s="13"/>
      <c r="B240" s="63"/>
      <c r="C240" s="64" t="str">
        <f aca="false">IF(B240="","",TEXT(B240,"DDD"))</f>
        <v/>
      </c>
      <c r="D240" s="32"/>
      <c r="E240" s="32"/>
      <c r="F240" s="33"/>
      <c r="G240" s="65"/>
      <c r="H240" s="32"/>
      <c r="I240" s="66" t="n">
        <v>0</v>
      </c>
      <c r="J240" s="67"/>
      <c r="K240" s="68"/>
      <c r="L240" s="68"/>
      <c r="M240" s="68"/>
      <c r="N240" s="68"/>
      <c r="O240" s="68"/>
      <c r="P240" s="33"/>
      <c r="Q240" s="68"/>
      <c r="R240" s="68"/>
      <c r="S240" s="13"/>
    </row>
    <row r="241" customFormat="false" ht="27.75" hidden="false" customHeight="true" outlineLevel="0" collapsed="false">
      <c r="A241" s="5"/>
      <c r="B241" s="69"/>
      <c r="C241" s="64" t="str">
        <f aca="false">IF(B241="","",TEXT(B241,"DDD"))</f>
        <v/>
      </c>
      <c r="D241" s="36"/>
      <c r="E241" s="36"/>
      <c r="F241" s="4"/>
      <c r="G241" s="70"/>
      <c r="H241" s="36"/>
      <c r="I241" s="66" t="n">
        <v>0</v>
      </c>
      <c r="J241" s="71"/>
      <c r="K241" s="72"/>
      <c r="L241" s="72"/>
      <c r="M241" s="72"/>
      <c r="N241" s="72"/>
      <c r="O241" s="72"/>
      <c r="P241" s="4"/>
      <c r="Q241" s="72"/>
      <c r="R241" s="72"/>
      <c r="S241" s="5"/>
    </row>
    <row r="242" customFormat="false" ht="27.75" hidden="false" customHeight="true" outlineLevel="0" collapsed="false">
      <c r="A242" s="13"/>
      <c r="B242" s="63"/>
      <c r="C242" s="64" t="str">
        <f aca="false">IF(B242="","",TEXT(B242,"DDD"))</f>
        <v/>
      </c>
      <c r="D242" s="32"/>
      <c r="E242" s="32"/>
      <c r="F242" s="33"/>
      <c r="G242" s="65"/>
      <c r="H242" s="32"/>
      <c r="I242" s="66" t="n">
        <v>0</v>
      </c>
      <c r="J242" s="67"/>
      <c r="K242" s="68"/>
      <c r="L242" s="68"/>
      <c r="M242" s="68"/>
      <c r="N242" s="68"/>
      <c r="O242" s="68"/>
      <c r="P242" s="33"/>
      <c r="Q242" s="68"/>
      <c r="R242" s="68"/>
      <c r="S242" s="13"/>
    </row>
    <row r="243" customFormat="false" ht="27.75" hidden="false" customHeight="true" outlineLevel="0" collapsed="false">
      <c r="A243" s="5"/>
      <c r="B243" s="69"/>
      <c r="C243" s="64" t="str">
        <f aca="false">IF(B243="","",TEXT(B243,"DDD"))</f>
        <v/>
      </c>
      <c r="D243" s="36"/>
      <c r="E243" s="36"/>
      <c r="F243" s="4"/>
      <c r="G243" s="70"/>
      <c r="H243" s="36"/>
      <c r="I243" s="66" t="n">
        <v>0</v>
      </c>
      <c r="J243" s="71"/>
      <c r="K243" s="72"/>
      <c r="L243" s="72"/>
      <c r="M243" s="72"/>
      <c r="N243" s="72"/>
      <c r="O243" s="72"/>
      <c r="P243" s="4"/>
      <c r="Q243" s="72"/>
      <c r="R243" s="72"/>
      <c r="S243" s="5"/>
    </row>
    <row r="244" customFormat="false" ht="27.75" hidden="false" customHeight="true" outlineLevel="0" collapsed="false">
      <c r="A244" s="13"/>
      <c r="B244" s="63"/>
      <c r="C244" s="64" t="str">
        <f aca="false">IF(B244="","",TEXT(B244,"DDD"))</f>
        <v/>
      </c>
      <c r="D244" s="32"/>
      <c r="E244" s="32"/>
      <c r="F244" s="33"/>
      <c r="G244" s="65"/>
      <c r="H244" s="32"/>
      <c r="I244" s="66" t="n">
        <v>0</v>
      </c>
      <c r="J244" s="67"/>
      <c r="K244" s="68"/>
      <c r="L244" s="68"/>
      <c r="M244" s="68"/>
      <c r="N244" s="68"/>
      <c r="O244" s="68"/>
      <c r="P244" s="33"/>
      <c r="Q244" s="68"/>
      <c r="R244" s="68"/>
      <c r="S244" s="13"/>
    </row>
    <row r="245" customFormat="false" ht="27.75" hidden="false" customHeight="true" outlineLevel="0" collapsed="false">
      <c r="A245" s="5"/>
      <c r="B245" s="69"/>
      <c r="C245" s="64" t="str">
        <f aca="false">IF(B245="","",TEXT(B245,"DDD"))</f>
        <v/>
      </c>
      <c r="D245" s="36"/>
      <c r="E245" s="36"/>
      <c r="F245" s="4"/>
      <c r="G245" s="70"/>
      <c r="H245" s="36"/>
      <c r="I245" s="66" t="n">
        <v>0</v>
      </c>
      <c r="J245" s="71"/>
      <c r="K245" s="72"/>
      <c r="L245" s="72"/>
      <c r="M245" s="72"/>
      <c r="N245" s="72"/>
      <c r="O245" s="72"/>
      <c r="P245" s="4"/>
      <c r="Q245" s="72"/>
      <c r="R245" s="72"/>
      <c r="S245" s="5"/>
    </row>
    <row r="246" customFormat="false" ht="27.75" hidden="false" customHeight="true" outlineLevel="0" collapsed="false">
      <c r="A246" s="13"/>
      <c r="B246" s="63"/>
      <c r="C246" s="64" t="str">
        <f aca="false">IF(B246="","",TEXT(B246,"DDD"))</f>
        <v/>
      </c>
      <c r="D246" s="32"/>
      <c r="E246" s="32"/>
      <c r="F246" s="33"/>
      <c r="G246" s="65"/>
      <c r="H246" s="32"/>
      <c r="I246" s="66" t="n">
        <v>0</v>
      </c>
      <c r="J246" s="67"/>
      <c r="K246" s="68"/>
      <c r="L246" s="68"/>
      <c r="M246" s="68"/>
      <c r="N246" s="68"/>
      <c r="O246" s="68"/>
      <c r="P246" s="33"/>
      <c r="Q246" s="68"/>
      <c r="R246" s="68"/>
      <c r="S246" s="13"/>
    </row>
    <row r="247" customFormat="false" ht="27.75" hidden="false" customHeight="true" outlineLevel="0" collapsed="false">
      <c r="A247" s="5"/>
      <c r="B247" s="69"/>
      <c r="C247" s="64" t="str">
        <f aca="false">IF(B247="","",TEXT(B247,"DDD"))</f>
        <v/>
      </c>
      <c r="D247" s="36"/>
      <c r="E247" s="36"/>
      <c r="F247" s="4"/>
      <c r="G247" s="70"/>
      <c r="H247" s="36"/>
      <c r="I247" s="66" t="n">
        <v>0</v>
      </c>
      <c r="J247" s="71"/>
      <c r="K247" s="72"/>
      <c r="L247" s="72"/>
      <c r="M247" s="72"/>
      <c r="N247" s="72"/>
      <c r="O247" s="72"/>
      <c r="P247" s="4"/>
      <c r="Q247" s="72"/>
      <c r="R247" s="72"/>
      <c r="S247" s="5"/>
    </row>
    <row r="248" customFormat="false" ht="27.75" hidden="false" customHeight="true" outlineLevel="0" collapsed="false">
      <c r="A248" s="13"/>
      <c r="B248" s="63"/>
      <c r="C248" s="64" t="str">
        <f aca="false">IF(B248="","",TEXT(B248,"DDD"))</f>
        <v/>
      </c>
      <c r="D248" s="32"/>
      <c r="E248" s="32"/>
      <c r="F248" s="33"/>
      <c r="G248" s="65"/>
      <c r="H248" s="32"/>
      <c r="I248" s="66" t="n">
        <v>0</v>
      </c>
      <c r="J248" s="67"/>
      <c r="K248" s="68"/>
      <c r="L248" s="68"/>
      <c r="M248" s="68"/>
      <c r="N248" s="68"/>
      <c r="O248" s="68"/>
      <c r="P248" s="33"/>
      <c r="Q248" s="68"/>
      <c r="R248" s="68"/>
      <c r="S248" s="13"/>
    </row>
    <row r="249" customFormat="false" ht="27.75" hidden="false" customHeight="true" outlineLevel="0" collapsed="false">
      <c r="A249" s="5"/>
      <c r="B249" s="69"/>
      <c r="C249" s="64" t="str">
        <f aca="false">IF(B249="","",TEXT(B249,"DDD"))</f>
        <v/>
      </c>
      <c r="D249" s="36"/>
      <c r="E249" s="36"/>
      <c r="F249" s="4"/>
      <c r="G249" s="70"/>
      <c r="H249" s="36"/>
      <c r="I249" s="66" t="n">
        <v>0</v>
      </c>
      <c r="J249" s="71"/>
      <c r="K249" s="72"/>
      <c r="L249" s="72"/>
      <c r="M249" s="72"/>
      <c r="N249" s="72"/>
      <c r="O249" s="72"/>
      <c r="P249" s="4"/>
      <c r="Q249" s="72"/>
      <c r="R249" s="72"/>
      <c r="S249" s="5"/>
    </row>
    <row r="250" customFormat="false" ht="27.75" hidden="false" customHeight="true" outlineLevel="0" collapsed="false">
      <c r="A250" s="13"/>
      <c r="B250" s="63"/>
      <c r="C250" s="64" t="str">
        <f aca="false">IF(B250="","",TEXT(B250,"DDD"))</f>
        <v/>
      </c>
      <c r="D250" s="32"/>
      <c r="E250" s="32"/>
      <c r="F250" s="33"/>
      <c r="G250" s="65"/>
      <c r="H250" s="32"/>
      <c r="I250" s="66" t="n">
        <v>0</v>
      </c>
      <c r="J250" s="67"/>
      <c r="K250" s="68"/>
      <c r="L250" s="68"/>
      <c r="M250" s="68"/>
      <c r="N250" s="68"/>
      <c r="O250" s="68"/>
      <c r="P250" s="33"/>
      <c r="Q250" s="68"/>
      <c r="R250" s="68"/>
      <c r="S250" s="13"/>
    </row>
    <row r="251" customFormat="false" ht="27.75" hidden="false" customHeight="true" outlineLevel="0" collapsed="false">
      <c r="A251" s="5"/>
      <c r="B251" s="69"/>
      <c r="C251" s="64" t="str">
        <f aca="false">IF(B251="","",TEXT(B251,"DDD"))</f>
        <v/>
      </c>
      <c r="D251" s="36"/>
      <c r="E251" s="36"/>
      <c r="F251" s="4"/>
      <c r="G251" s="70"/>
      <c r="H251" s="36"/>
      <c r="I251" s="66" t="n">
        <v>0</v>
      </c>
      <c r="J251" s="71"/>
      <c r="K251" s="72"/>
      <c r="L251" s="72"/>
      <c r="M251" s="72"/>
      <c r="N251" s="72"/>
      <c r="O251" s="72"/>
      <c r="P251" s="4"/>
      <c r="Q251" s="72"/>
      <c r="R251" s="72"/>
      <c r="S251" s="5"/>
    </row>
    <row r="252" customFormat="false" ht="27.75" hidden="false" customHeight="true" outlineLevel="0" collapsed="false">
      <c r="A252" s="13"/>
      <c r="B252" s="63"/>
      <c r="C252" s="64" t="str">
        <f aca="false">IF(B252="","",TEXT(B252,"DDD"))</f>
        <v/>
      </c>
      <c r="D252" s="32"/>
      <c r="E252" s="32"/>
      <c r="F252" s="33"/>
      <c r="G252" s="65"/>
      <c r="H252" s="32"/>
      <c r="I252" s="66" t="n">
        <v>0</v>
      </c>
      <c r="J252" s="67"/>
      <c r="K252" s="68"/>
      <c r="L252" s="68"/>
      <c r="M252" s="68"/>
      <c r="N252" s="68"/>
      <c r="O252" s="68"/>
      <c r="P252" s="33"/>
      <c r="Q252" s="68"/>
      <c r="R252" s="68"/>
      <c r="S252" s="13"/>
    </row>
    <row r="253" customFormat="false" ht="27.75" hidden="false" customHeight="true" outlineLevel="0" collapsed="false">
      <c r="A253" s="5"/>
      <c r="B253" s="69"/>
      <c r="C253" s="64" t="str">
        <f aca="false">IF(B253="","",TEXT(B253,"DDD"))</f>
        <v/>
      </c>
      <c r="D253" s="36"/>
      <c r="E253" s="36"/>
      <c r="F253" s="4"/>
      <c r="G253" s="70"/>
      <c r="H253" s="36"/>
      <c r="I253" s="66" t="n">
        <v>0</v>
      </c>
      <c r="J253" s="71"/>
      <c r="K253" s="72"/>
      <c r="L253" s="72"/>
      <c r="M253" s="72"/>
      <c r="N253" s="72"/>
      <c r="O253" s="72"/>
      <c r="P253" s="4"/>
      <c r="Q253" s="72"/>
      <c r="R253" s="72"/>
      <c r="S253" s="5"/>
    </row>
    <row r="254" customFormat="false" ht="27.75" hidden="false" customHeight="true" outlineLevel="0" collapsed="false">
      <c r="A254" s="13"/>
      <c r="B254" s="63"/>
      <c r="C254" s="64" t="str">
        <f aca="false">IF(B254="","",TEXT(B254,"DDD"))</f>
        <v/>
      </c>
      <c r="D254" s="32"/>
      <c r="E254" s="32"/>
      <c r="F254" s="33"/>
      <c r="G254" s="65"/>
      <c r="H254" s="32"/>
      <c r="I254" s="66" t="n">
        <v>0</v>
      </c>
      <c r="J254" s="67"/>
      <c r="K254" s="68"/>
      <c r="L254" s="68"/>
      <c r="M254" s="68"/>
      <c r="N254" s="68"/>
      <c r="O254" s="68"/>
      <c r="P254" s="33"/>
      <c r="Q254" s="68"/>
      <c r="R254" s="68"/>
      <c r="S254" s="13"/>
    </row>
    <row r="255" customFormat="false" ht="27.75" hidden="false" customHeight="true" outlineLevel="0" collapsed="false">
      <c r="A255" s="5"/>
      <c r="B255" s="69"/>
      <c r="C255" s="64" t="str">
        <f aca="false">IF(B255="","",TEXT(B255,"DDD"))</f>
        <v/>
      </c>
      <c r="D255" s="36"/>
      <c r="E255" s="36"/>
      <c r="F255" s="4"/>
      <c r="G255" s="70"/>
      <c r="H255" s="36"/>
      <c r="I255" s="66" t="n">
        <v>0</v>
      </c>
      <c r="J255" s="71"/>
      <c r="K255" s="72"/>
      <c r="L255" s="72"/>
      <c r="M255" s="72"/>
      <c r="N255" s="72"/>
      <c r="O255" s="72"/>
      <c r="P255" s="4"/>
      <c r="Q255" s="72"/>
      <c r="R255" s="72"/>
      <c r="S255" s="5"/>
    </row>
    <row r="256" customFormat="false" ht="27.75" hidden="false" customHeight="true" outlineLevel="0" collapsed="false">
      <c r="A256" s="13"/>
      <c r="B256" s="63"/>
      <c r="C256" s="64" t="str">
        <f aca="false">IF(B256="","",TEXT(B256,"DDD"))</f>
        <v/>
      </c>
      <c r="D256" s="32"/>
      <c r="E256" s="32"/>
      <c r="F256" s="33"/>
      <c r="G256" s="65"/>
      <c r="H256" s="32"/>
      <c r="I256" s="66" t="n">
        <v>0</v>
      </c>
      <c r="J256" s="67"/>
      <c r="K256" s="68"/>
      <c r="L256" s="68"/>
      <c r="M256" s="68"/>
      <c r="N256" s="68"/>
      <c r="O256" s="68"/>
      <c r="P256" s="33"/>
      <c r="Q256" s="68"/>
      <c r="R256" s="68"/>
      <c r="S256" s="13"/>
    </row>
    <row r="257" customFormat="false" ht="27.75" hidden="false" customHeight="true" outlineLevel="0" collapsed="false">
      <c r="A257" s="5"/>
      <c r="B257" s="69"/>
      <c r="C257" s="64" t="str">
        <f aca="false">IF(B257="","",TEXT(B257,"DDD"))</f>
        <v/>
      </c>
      <c r="D257" s="36"/>
      <c r="E257" s="36"/>
      <c r="F257" s="4"/>
      <c r="G257" s="70"/>
      <c r="H257" s="36"/>
      <c r="I257" s="66" t="n">
        <v>0</v>
      </c>
      <c r="J257" s="71"/>
      <c r="K257" s="72"/>
      <c r="L257" s="72"/>
      <c r="M257" s="72"/>
      <c r="N257" s="72"/>
      <c r="O257" s="72"/>
      <c r="P257" s="4"/>
      <c r="Q257" s="72"/>
      <c r="R257" s="72"/>
      <c r="S257" s="5"/>
    </row>
    <row r="258" customFormat="false" ht="27.75" hidden="false" customHeight="true" outlineLevel="0" collapsed="false">
      <c r="A258" s="13"/>
      <c r="B258" s="63"/>
      <c r="C258" s="64" t="str">
        <f aca="false">IF(B258="","",TEXT(B258,"DDD"))</f>
        <v/>
      </c>
      <c r="D258" s="32"/>
      <c r="E258" s="32"/>
      <c r="F258" s="33"/>
      <c r="G258" s="65"/>
      <c r="H258" s="32"/>
      <c r="I258" s="66" t="n">
        <v>0</v>
      </c>
      <c r="J258" s="67"/>
      <c r="K258" s="68"/>
      <c r="L258" s="68"/>
      <c r="M258" s="68"/>
      <c r="N258" s="68"/>
      <c r="O258" s="68"/>
      <c r="P258" s="33"/>
      <c r="Q258" s="68"/>
      <c r="R258" s="68"/>
      <c r="S258" s="13"/>
    </row>
    <row r="259" customFormat="false" ht="27.75" hidden="false" customHeight="true" outlineLevel="0" collapsed="false">
      <c r="A259" s="5"/>
      <c r="B259" s="69"/>
      <c r="C259" s="64" t="str">
        <f aca="false">IF(B259="","",TEXT(B259,"DDD"))</f>
        <v/>
      </c>
      <c r="D259" s="36"/>
      <c r="E259" s="36"/>
      <c r="F259" s="4"/>
      <c r="G259" s="70"/>
      <c r="H259" s="36"/>
      <c r="I259" s="66" t="n">
        <v>0</v>
      </c>
      <c r="J259" s="71"/>
      <c r="K259" s="72"/>
      <c r="L259" s="72"/>
      <c r="M259" s="72"/>
      <c r="N259" s="72"/>
      <c r="O259" s="72"/>
      <c r="P259" s="4"/>
      <c r="Q259" s="72"/>
      <c r="R259" s="72"/>
      <c r="S259" s="5"/>
    </row>
    <row r="260" customFormat="false" ht="27.75" hidden="false" customHeight="true" outlineLevel="0" collapsed="false">
      <c r="A260" s="13"/>
      <c r="B260" s="63"/>
      <c r="C260" s="64" t="str">
        <f aca="false">IF(B260="","",TEXT(B260,"DDD"))</f>
        <v/>
      </c>
      <c r="D260" s="32"/>
      <c r="E260" s="32"/>
      <c r="F260" s="33"/>
      <c r="G260" s="65"/>
      <c r="H260" s="32"/>
      <c r="I260" s="66" t="n">
        <v>0</v>
      </c>
      <c r="J260" s="67"/>
      <c r="K260" s="68"/>
      <c r="L260" s="68"/>
      <c r="M260" s="68"/>
      <c r="N260" s="68"/>
      <c r="O260" s="68"/>
      <c r="P260" s="33"/>
      <c r="Q260" s="68"/>
      <c r="R260" s="68"/>
      <c r="S260" s="13"/>
    </row>
    <row r="261" customFormat="false" ht="27.75" hidden="false" customHeight="true" outlineLevel="0" collapsed="false">
      <c r="A261" s="5"/>
      <c r="B261" s="69"/>
      <c r="C261" s="64" t="str">
        <f aca="false">IF(B261="","",TEXT(B261,"DDD"))</f>
        <v/>
      </c>
      <c r="D261" s="36"/>
      <c r="E261" s="36"/>
      <c r="F261" s="4"/>
      <c r="G261" s="70"/>
      <c r="H261" s="36"/>
      <c r="I261" s="66" t="n">
        <v>0</v>
      </c>
      <c r="J261" s="71"/>
      <c r="K261" s="72"/>
      <c r="L261" s="72"/>
      <c r="M261" s="72"/>
      <c r="N261" s="72"/>
      <c r="O261" s="72"/>
      <c r="P261" s="4"/>
      <c r="Q261" s="72"/>
      <c r="R261" s="72"/>
      <c r="S261" s="5"/>
    </row>
    <row r="262" customFormat="false" ht="27.75" hidden="false" customHeight="true" outlineLevel="0" collapsed="false">
      <c r="A262" s="13"/>
      <c r="B262" s="63"/>
      <c r="C262" s="64" t="str">
        <f aca="false">IF(B262="","",TEXT(B262,"DDD"))</f>
        <v/>
      </c>
      <c r="D262" s="32"/>
      <c r="E262" s="32"/>
      <c r="F262" s="33"/>
      <c r="G262" s="65"/>
      <c r="H262" s="32"/>
      <c r="I262" s="66" t="n">
        <v>0</v>
      </c>
      <c r="J262" s="67"/>
      <c r="K262" s="68"/>
      <c r="L262" s="68"/>
      <c r="M262" s="68"/>
      <c r="N262" s="68"/>
      <c r="O262" s="68"/>
      <c r="P262" s="33"/>
      <c r="Q262" s="68"/>
      <c r="R262" s="68"/>
      <c r="S262" s="13"/>
    </row>
    <row r="263" customFormat="false" ht="27.75" hidden="false" customHeight="true" outlineLevel="0" collapsed="false">
      <c r="A263" s="5"/>
      <c r="B263" s="69"/>
      <c r="C263" s="64" t="str">
        <f aca="false">IF(B263="","",TEXT(B263,"DDD"))</f>
        <v/>
      </c>
      <c r="D263" s="36"/>
      <c r="E263" s="36"/>
      <c r="F263" s="4"/>
      <c r="G263" s="70"/>
      <c r="H263" s="36"/>
      <c r="I263" s="66" t="n">
        <v>0</v>
      </c>
      <c r="J263" s="71"/>
      <c r="K263" s="72"/>
      <c r="L263" s="72"/>
      <c r="M263" s="72"/>
      <c r="N263" s="72"/>
      <c r="O263" s="72"/>
      <c r="P263" s="4"/>
      <c r="Q263" s="72"/>
      <c r="R263" s="72"/>
      <c r="S263" s="5"/>
    </row>
    <row r="264" customFormat="false" ht="27.75" hidden="false" customHeight="true" outlineLevel="0" collapsed="false">
      <c r="A264" s="13"/>
      <c r="B264" s="63"/>
      <c r="C264" s="64" t="str">
        <f aca="false">IF(B264="","",TEXT(B264,"DDD"))</f>
        <v/>
      </c>
      <c r="D264" s="32"/>
      <c r="E264" s="32"/>
      <c r="F264" s="33"/>
      <c r="G264" s="65"/>
      <c r="H264" s="32"/>
      <c r="I264" s="66" t="n">
        <v>0</v>
      </c>
      <c r="J264" s="67"/>
      <c r="K264" s="68"/>
      <c r="L264" s="68"/>
      <c r="M264" s="68"/>
      <c r="N264" s="68"/>
      <c r="O264" s="68"/>
      <c r="P264" s="33"/>
      <c r="Q264" s="68"/>
      <c r="R264" s="68"/>
      <c r="S264" s="13"/>
    </row>
    <row r="265" customFormat="false" ht="27.75" hidden="false" customHeight="true" outlineLevel="0" collapsed="false">
      <c r="A265" s="5"/>
      <c r="B265" s="69"/>
      <c r="C265" s="64" t="str">
        <f aca="false">IF(B265="","",TEXT(B265,"DDD"))</f>
        <v/>
      </c>
      <c r="D265" s="36"/>
      <c r="E265" s="36"/>
      <c r="F265" s="4"/>
      <c r="G265" s="70"/>
      <c r="H265" s="36"/>
      <c r="I265" s="66" t="n">
        <v>0</v>
      </c>
      <c r="J265" s="71"/>
      <c r="K265" s="72"/>
      <c r="L265" s="72"/>
      <c r="M265" s="72"/>
      <c r="N265" s="72"/>
      <c r="O265" s="72"/>
      <c r="P265" s="4"/>
      <c r="Q265" s="72"/>
      <c r="R265" s="72"/>
      <c r="S265" s="5"/>
    </row>
    <row r="266" customFormat="false" ht="27.75" hidden="false" customHeight="true" outlineLevel="0" collapsed="false">
      <c r="A266" s="13"/>
      <c r="B266" s="63"/>
      <c r="C266" s="64" t="str">
        <f aca="false">IF(B266="","",TEXT(B266,"DDD"))</f>
        <v/>
      </c>
      <c r="D266" s="32"/>
      <c r="E266" s="32"/>
      <c r="F266" s="33"/>
      <c r="G266" s="65"/>
      <c r="H266" s="32"/>
      <c r="I266" s="66" t="n">
        <v>0</v>
      </c>
      <c r="J266" s="67"/>
      <c r="K266" s="68"/>
      <c r="L266" s="68"/>
      <c r="M266" s="68"/>
      <c r="N266" s="68"/>
      <c r="O266" s="68"/>
      <c r="P266" s="33"/>
      <c r="Q266" s="68"/>
      <c r="R266" s="68"/>
      <c r="S266" s="13"/>
    </row>
    <row r="267" customFormat="false" ht="27.75" hidden="false" customHeight="true" outlineLevel="0" collapsed="false">
      <c r="A267" s="5"/>
      <c r="B267" s="69"/>
      <c r="C267" s="64" t="str">
        <f aca="false">IF(B267="","",TEXT(B267,"DDD"))</f>
        <v/>
      </c>
      <c r="D267" s="36"/>
      <c r="E267" s="36"/>
      <c r="F267" s="4"/>
      <c r="G267" s="70"/>
      <c r="H267" s="36"/>
      <c r="I267" s="66" t="n">
        <v>0</v>
      </c>
      <c r="J267" s="71"/>
      <c r="K267" s="72"/>
      <c r="L267" s="72"/>
      <c r="M267" s="72"/>
      <c r="N267" s="72"/>
      <c r="O267" s="72"/>
      <c r="P267" s="4"/>
      <c r="Q267" s="72"/>
      <c r="R267" s="72"/>
      <c r="S267" s="5"/>
    </row>
    <row r="268" customFormat="false" ht="27.75" hidden="false" customHeight="true" outlineLevel="0" collapsed="false">
      <c r="A268" s="13"/>
      <c r="B268" s="63"/>
      <c r="C268" s="64" t="str">
        <f aca="false">IF(B268="","",TEXT(B268,"DDD"))</f>
        <v/>
      </c>
      <c r="D268" s="32"/>
      <c r="E268" s="32"/>
      <c r="F268" s="33"/>
      <c r="G268" s="65"/>
      <c r="H268" s="32"/>
      <c r="I268" s="66" t="n">
        <v>0</v>
      </c>
      <c r="J268" s="67"/>
      <c r="K268" s="68"/>
      <c r="L268" s="68"/>
      <c r="M268" s="68"/>
      <c r="N268" s="68"/>
      <c r="O268" s="68"/>
      <c r="P268" s="33"/>
      <c r="Q268" s="68"/>
      <c r="R268" s="68"/>
      <c r="S268" s="13"/>
    </row>
    <row r="269" customFormat="false" ht="27.75" hidden="false" customHeight="true" outlineLevel="0" collapsed="false">
      <c r="A269" s="5"/>
      <c r="B269" s="69"/>
      <c r="C269" s="64" t="str">
        <f aca="false">IF(B269="","",TEXT(B269,"DDD"))</f>
        <v/>
      </c>
      <c r="D269" s="36"/>
      <c r="E269" s="36"/>
      <c r="F269" s="4"/>
      <c r="G269" s="70"/>
      <c r="H269" s="36"/>
      <c r="I269" s="66" t="n">
        <v>0</v>
      </c>
      <c r="J269" s="71"/>
      <c r="K269" s="72"/>
      <c r="L269" s="72"/>
      <c r="M269" s="72"/>
      <c r="N269" s="72"/>
      <c r="O269" s="72"/>
      <c r="P269" s="4"/>
      <c r="Q269" s="72"/>
      <c r="R269" s="72"/>
      <c r="S269" s="5"/>
    </row>
    <row r="270" customFormat="false" ht="27.75" hidden="false" customHeight="true" outlineLevel="0" collapsed="false">
      <c r="A270" s="13"/>
      <c r="B270" s="63"/>
      <c r="C270" s="64" t="str">
        <f aca="false">IF(B270="","",TEXT(B270,"DDD"))</f>
        <v/>
      </c>
      <c r="D270" s="32"/>
      <c r="E270" s="32"/>
      <c r="F270" s="33"/>
      <c r="G270" s="65"/>
      <c r="H270" s="32"/>
      <c r="I270" s="66" t="n">
        <v>0</v>
      </c>
      <c r="J270" s="67"/>
      <c r="K270" s="68"/>
      <c r="L270" s="68"/>
      <c r="M270" s="68"/>
      <c r="N270" s="68"/>
      <c r="O270" s="68"/>
      <c r="P270" s="33"/>
      <c r="Q270" s="68"/>
      <c r="R270" s="68"/>
      <c r="S270" s="13"/>
    </row>
    <row r="271" customFormat="false" ht="27.75" hidden="false" customHeight="true" outlineLevel="0" collapsed="false">
      <c r="A271" s="5"/>
      <c r="B271" s="69"/>
      <c r="C271" s="64" t="str">
        <f aca="false">IF(B271="","",TEXT(B271,"DDD"))</f>
        <v/>
      </c>
      <c r="D271" s="36"/>
      <c r="E271" s="36"/>
      <c r="F271" s="4"/>
      <c r="G271" s="70"/>
      <c r="H271" s="36"/>
      <c r="I271" s="66" t="n">
        <v>0</v>
      </c>
      <c r="J271" s="71"/>
      <c r="K271" s="72"/>
      <c r="L271" s="72"/>
      <c r="M271" s="72"/>
      <c r="N271" s="72"/>
      <c r="O271" s="72"/>
      <c r="P271" s="4"/>
      <c r="Q271" s="72"/>
      <c r="R271" s="72"/>
      <c r="S271" s="5"/>
    </row>
    <row r="272" customFormat="false" ht="27.75" hidden="false" customHeight="true" outlineLevel="0" collapsed="false">
      <c r="A272" s="13"/>
      <c r="B272" s="63"/>
      <c r="C272" s="64" t="str">
        <f aca="false">IF(B272="","",TEXT(B272,"DDD"))</f>
        <v/>
      </c>
      <c r="D272" s="32"/>
      <c r="E272" s="32"/>
      <c r="F272" s="33"/>
      <c r="G272" s="65"/>
      <c r="H272" s="32"/>
      <c r="I272" s="66" t="n">
        <v>0</v>
      </c>
      <c r="J272" s="67"/>
      <c r="K272" s="68"/>
      <c r="L272" s="68"/>
      <c r="M272" s="68"/>
      <c r="N272" s="68"/>
      <c r="O272" s="68"/>
      <c r="P272" s="33"/>
      <c r="Q272" s="68"/>
      <c r="R272" s="68"/>
      <c r="S272" s="13"/>
    </row>
    <row r="273" customFormat="false" ht="27.75" hidden="false" customHeight="true" outlineLevel="0" collapsed="false">
      <c r="A273" s="5"/>
      <c r="B273" s="69"/>
      <c r="C273" s="64" t="str">
        <f aca="false">IF(B273="","",TEXT(B273,"DDD"))</f>
        <v/>
      </c>
      <c r="D273" s="36"/>
      <c r="E273" s="36"/>
      <c r="F273" s="4"/>
      <c r="G273" s="70"/>
      <c r="H273" s="36"/>
      <c r="I273" s="66" t="n">
        <v>0</v>
      </c>
      <c r="J273" s="71"/>
      <c r="K273" s="72"/>
      <c r="L273" s="72"/>
      <c r="M273" s="72"/>
      <c r="N273" s="72"/>
      <c r="O273" s="72"/>
      <c r="P273" s="4"/>
      <c r="Q273" s="72"/>
      <c r="R273" s="72"/>
      <c r="S273" s="5"/>
    </row>
    <row r="274" customFormat="false" ht="27.75" hidden="false" customHeight="true" outlineLevel="0" collapsed="false">
      <c r="A274" s="13"/>
      <c r="B274" s="63"/>
      <c r="C274" s="64" t="str">
        <f aca="false">IF(B274="","",TEXT(B274,"DDD"))</f>
        <v/>
      </c>
      <c r="D274" s="32"/>
      <c r="E274" s="32"/>
      <c r="F274" s="33"/>
      <c r="G274" s="65"/>
      <c r="H274" s="32"/>
      <c r="I274" s="66" t="n">
        <v>0</v>
      </c>
      <c r="J274" s="67"/>
      <c r="K274" s="68"/>
      <c r="L274" s="68"/>
      <c r="M274" s="68"/>
      <c r="N274" s="68"/>
      <c r="O274" s="68"/>
      <c r="P274" s="33"/>
      <c r="Q274" s="68"/>
      <c r="R274" s="68"/>
      <c r="S274" s="13"/>
    </row>
    <row r="275" customFormat="false" ht="27.75" hidden="false" customHeight="true" outlineLevel="0" collapsed="false">
      <c r="A275" s="5"/>
      <c r="B275" s="69"/>
      <c r="C275" s="64" t="str">
        <f aca="false">IF(B275="","",TEXT(B275,"DDD"))</f>
        <v/>
      </c>
      <c r="D275" s="36"/>
      <c r="E275" s="36"/>
      <c r="F275" s="4"/>
      <c r="G275" s="70"/>
      <c r="H275" s="36"/>
      <c r="I275" s="66" t="n">
        <v>0</v>
      </c>
      <c r="J275" s="71"/>
      <c r="K275" s="72"/>
      <c r="L275" s="72"/>
      <c r="M275" s="72"/>
      <c r="N275" s="72"/>
      <c r="O275" s="72"/>
      <c r="P275" s="4"/>
      <c r="Q275" s="72"/>
      <c r="R275" s="72"/>
      <c r="S275" s="5"/>
    </row>
    <row r="276" customFormat="false" ht="27.75" hidden="false" customHeight="true" outlineLevel="0" collapsed="false">
      <c r="A276" s="13"/>
      <c r="B276" s="63"/>
      <c r="C276" s="64" t="str">
        <f aca="false">IF(B276="","",TEXT(B276,"DDD"))</f>
        <v/>
      </c>
      <c r="D276" s="32"/>
      <c r="E276" s="32"/>
      <c r="F276" s="33"/>
      <c r="G276" s="65"/>
      <c r="H276" s="32"/>
      <c r="I276" s="66" t="n">
        <v>0</v>
      </c>
      <c r="J276" s="67"/>
      <c r="K276" s="68"/>
      <c r="L276" s="68"/>
      <c r="M276" s="68"/>
      <c r="N276" s="68"/>
      <c r="O276" s="68"/>
      <c r="P276" s="33"/>
      <c r="Q276" s="68"/>
      <c r="R276" s="68"/>
      <c r="S276" s="13"/>
    </row>
    <row r="277" customFormat="false" ht="27.75" hidden="false" customHeight="true" outlineLevel="0" collapsed="false">
      <c r="A277" s="5"/>
      <c r="B277" s="69"/>
      <c r="C277" s="64" t="str">
        <f aca="false">IF(B277="","",TEXT(B277,"DDD"))</f>
        <v/>
      </c>
      <c r="D277" s="36"/>
      <c r="E277" s="36"/>
      <c r="F277" s="4"/>
      <c r="G277" s="70"/>
      <c r="H277" s="36"/>
      <c r="I277" s="66" t="n">
        <v>0</v>
      </c>
      <c r="J277" s="71"/>
      <c r="K277" s="72"/>
      <c r="L277" s="72"/>
      <c r="M277" s="72"/>
      <c r="N277" s="72"/>
      <c r="O277" s="72"/>
      <c r="P277" s="4"/>
      <c r="Q277" s="72"/>
      <c r="R277" s="72"/>
      <c r="S277" s="5"/>
    </row>
    <row r="278" customFormat="false" ht="27.75" hidden="false" customHeight="true" outlineLevel="0" collapsed="false">
      <c r="A278" s="13"/>
      <c r="B278" s="63"/>
      <c r="C278" s="64" t="str">
        <f aca="false">IF(B278="","",TEXT(B278,"DDD"))</f>
        <v/>
      </c>
      <c r="D278" s="32"/>
      <c r="E278" s="32"/>
      <c r="F278" s="33"/>
      <c r="G278" s="65"/>
      <c r="H278" s="32"/>
      <c r="I278" s="66" t="n">
        <v>0</v>
      </c>
      <c r="J278" s="67"/>
      <c r="K278" s="68"/>
      <c r="L278" s="68"/>
      <c r="M278" s="68"/>
      <c r="N278" s="68"/>
      <c r="O278" s="68"/>
      <c r="P278" s="33"/>
      <c r="Q278" s="68"/>
      <c r="R278" s="68"/>
      <c r="S278" s="13"/>
    </row>
    <row r="279" customFormat="false" ht="27.75" hidden="false" customHeight="true" outlineLevel="0" collapsed="false">
      <c r="A279" s="5"/>
      <c r="B279" s="69"/>
      <c r="C279" s="64" t="str">
        <f aca="false">IF(B279="","",TEXT(B279,"DDD"))</f>
        <v/>
      </c>
      <c r="D279" s="36"/>
      <c r="E279" s="36"/>
      <c r="F279" s="4"/>
      <c r="G279" s="70"/>
      <c r="H279" s="36"/>
      <c r="I279" s="66" t="n">
        <v>0</v>
      </c>
      <c r="J279" s="71"/>
      <c r="K279" s="72"/>
      <c r="L279" s="72"/>
      <c r="M279" s="72"/>
      <c r="N279" s="72"/>
      <c r="O279" s="72"/>
      <c r="P279" s="4"/>
      <c r="Q279" s="72"/>
      <c r="R279" s="72"/>
      <c r="S279" s="5"/>
    </row>
    <row r="280" customFormat="false" ht="27.75" hidden="false" customHeight="true" outlineLevel="0" collapsed="false">
      <c r="A280" s="13"/>
      <c r="B280" s="63"/>
      <c r="C280" s="64" t="str">
        <f aca="false">IF(B280="","",TEXT(B280,"DDD"))</f>
        <v/>
      </c>
      <c r="D280" s="32"/>
      <c r="E280" s="32"/>
      <c r="F280" s="33"/>
      <c r="G280" s="65"/>
      <c r="H280" s="32"/>
      <c r="I280" s="66" t="n">
        <v>0</v>
      </c>
      <c r="J280" s="67"/>
      <c r="K280" s="68"/>
      <c r="L280" s="68"/>
      <c r="M280" s="68"/>
      <c r="N280" s="68"/>
      <c r="O280" s="68"/>
      <c r="P280" s="33"/>
      <c r="Q280" s="68"/>
      <c r="R280" s="68"/>
      <c r="S280" s="13"/>
    </row>
    <row r="281" customFormat="false" ht="27.75" hidden="false" customHeight="true" outlineLevel="0" collapsed="false">
      <c r="A281" s="5"/>
      <c r="B281" s="69"/>
      <c r="C281" s="64" t="str">
        <f aca="false">IF(B281="","",TEXT(B281,"DDD"))</f>
        <v/>
      </c>
      <c r="D281" s="36"/>
      <c r="E281" s="36"/>
      <c r="F281" s="4"/>
      <c r="G281" s="70"/>
      <c r="H281" s="36"/>
      <c r="I281" s="66" t="n">
        <v>0</v>
      </c>
      <c r="J281" s="71"/>
      <c r="K281" s="72"/>
      <c r="L281" s="72"/>
      <c r="M281" s="72"/>
      <c r="N281" s="72"/>
      <c r="O281" s="72"/>
      <c r="P281" s="4"/>
      <c r="Q281" s="72"/>
      <c r="R281" s="72"/>
      <c r="S281" s="5"/>
    </row>
    <row r="282" customFormat="false" ht="27.75" hidden="false" customHeight="true" outlineLevel="0" collapsed="false">
      <c r="A282" s="13"/>
      <c r="B282" s="63"/>
      <c r="C282" s="64" t="str">
        <f aca="false">IF(B282="","",TEXT(B282,"DDD"))</f>
        <v/>
      </c>
      <c r="D282" s="32"/>
      <c r="E282" s="32"/>
      <c r="F282" s="33"/>
      <c r="G282" s="65"/>
      <c r="H282" s="32"/>
      <c r="I282" s="66" t="n">
        <v>0</v>
      </c>
      <c r="J282" s="67"/>
      <c r="K282" s="68"/>
      <c r="L282" s="68"/>
      <c r="M282" s="68"/>
      <c r="N282" s="68"/>
      <c r="O282" s="68"/>
      <c r="P282" s="33"/>
      <c r="Q282" s="68"/>
      <c r="R282" s="68"/>
      <c r="S282" s="13"/>
    </row>
    <row r="283" customFormat="false" ht="27.75" hidden="false" customHeight="true" outlineLevel="0" collapsed="false">
      <c r="A283" s="5"/>
      <c r="B283" s="69"/>
      <c r="C283" s="64" t="str">
        <f aca="false">IF(B283="","",TEXT(B283,"DDD"))</f>
        <v/>
      </c>
      <c r="D283" s="36"/>
      <c r="E283" s="36"/>
      <c r="F283" s="4"/>
      <c r="G283" s="70"/>
      <c r="H283" s="36"/>
      <c r="I283" s="66" t="n">
        <v>0</v>
      </c>
      <c r="J283" s="71"/>
      <c r="K283" s="72"/>
      <c r="L283" s="72"/>
      <c r="M283" s="72"/>
      <c r="N283" s="72"/>
      <c r="O283" s="72"/>
      <c r="P283" s="4"/>
      <c r="Q283" s="72"/>
      <c r="R283" s="72"/>
      <c r="S283" s="5"/>
    </row>
    <row r="284" customFormat="false" ht="27.75" hidden="false" customHeight="true" outlineLevel="0" collapsed="false">
      <c r="A284" s="13"/>
      <c r="B284" s="63"/>
      <c r="C284" s="64" t="str">
        <f aca="false">IF(B284="","",TEXT(B284,"DDD"))</f>
        <v/>
      </c>
      <c r="D284" s="32"/>
      <c r="E284" s="32"/>
      <c r="F284" s="33"/>
      <c r="G284" s="65"/>
      <c r="H284" s="32"/>
      <c r="I284" s="66" t="n">
        <v>0</v>
      </c>
      <c r="J284" s="67"/>
      <c r="K284" s="68"/>
      <c r="L284" s="68"/>
      <c r="M284" s="68"/>
      <c r="N284" s="68"/>
      <c r="O284" s="68"/>
      <c r="P284" s="33"/>
      <c r="Q284" s="68"/>
      <c r="R284" s="68"/>
      <c r="S284" s="13"/>
    </row>
    <row r="285" customFormat="false" ht="27.75" hidden="false" customHeight="true" outlineLevel="0" collapsed="false">
      <c r="A285" s="5"/>
      <c r="B285" s="69"/>
      <c r="C285" s="64" t="str">
        <f aca="false">IF(B285="","",TEXT(B285,"DDD"))</f>
        <v/>
      </c>
      <c r="D285" s="36"/>
      <c r="E285" s="36"/>
      <c r="F285" s="4"/>
      <c r="G285" s="70"/>
      <c r="H285" s="36"/>
      <c r="I285" s="66" t="n">
        <v>0</v>
      </c>
      <c r="J285" s="71"/>
      <c r="K285" s="72"/>
      <c r="L285" s="72"/>
      <c r="M285" s="72"/>
      <c r="N285" s="72"/>
      <c r="O285" s="72"/>
      <c r="P285" s="4"/>
      <c r="Q285" s="72"/>
      <c r="R285" s="72"/>
      <c r="S285" s="5"/>
    </row>
    <row r="286" customFormat="false" ht="27.75" hidden="false" customHeight="true" outlineLevel="0" collapsed="false">
      <c r="A286" s="13"/>
      <c r="B286" s="63"/>
      <c r="C286" s="64" t="str">
        <f aca="false">IF(B286="","",TEXT(B286,"DDD"))</f>
        <v/>
      </c>
      <c r="D286" s="32"/>
      <c r="E286" s="32"/>
      <c r="F286" s="33"/>
      <c r="G286" s="65"/>
      <c r="H286" s="32"/>
      <c r="I286" s="66" t="n">
        <v>0</v>
      </c>
      <c r="J286" s="67"/>
      <c r="K286" s="68"/>
      <c r="L286" s="68"/>
      <c r="M286" s="68"/>
      <c r="N286" s="68"/>
      <c r="O286" s="68"/>
      <c r="P286" s="33"/>
      <c r="Q286" s="68"/>
      <c r="R286" s="68"/>
      <c r="S286" s="13"/>
    </row>
    <row r="287" customFormat="false" ht="27.75" hidden="false" customHeight="true" outlineLevel="0" collapsed="false">
      <c r="A287" s="5"/>
      <c r="B287" s="69"/>
      <c r="C287" s="64" t="str">
        <f aca="false">IF(B287="","",TEXT(B287,"DDD"))</f>
        <v/>
      </c>
      <c r="D287" s="36"/>
      <c r="E287" s="36"/>
      <c r="F287" s="4"/>
      <c r="G287" s="70"/>
      <c r="H287" s="36"/>
      <c r="I287" s="66" t="n">
        <v>0</v>
      </c>
      <c r="J287" s="71"/>
      <c r="K287" s="72"/>
      <c r="L287" s="72"/>
      <c r="M287" s="72"/>
      <c r="N287" s="72"/>
      <c r="O287" s="72"/>
      <c r="P287" s="4"/>
      <c r="Q287" s="72"/>
      <c r="R287" s="72"/>
      <c r="S287" s="5"/>
    </row>
    <row r="288" customFormat="false" ht="27.75" hidden="false" customHeight="true" outlineLevel="0" collapsed="false">
      <c r="A288" s="13"/>
      <c r="B288" s="63"/>
      <c r="C288" s="64" t="str">
        <f aca="false">IF(B288="","",TEXT(B288,"DDD"))</f>
        <v/>
      </c>
      <c r="D288" s="32"/>
      <c r="E288" s="32"/>
      <c r="F288" s="33"/>
      <c r="G288" s="65"/>
      <c r="H288" s="32"/>
      <c r="I288" s="66" t="n">
        <v>0</v>
      </c>
      <c r="J288" s="67"/>
      <c r="K288" s="68"/>
      <c r="L288" s="68"/>
      <c r="M288" s="68"/>
      <c r="N288" s="68"/>
      <c r="O288" s="68"/>
      <c r="P288" s="33"/>
      <c r="Q288" s="68"/>
      <c r="R288" s="68"/>
      <c r="S288" s="13"/>
    </row>
    <row r="289" customFormat="false" ht="27.75" hidden="false" customHeight="true" outlineLevel="0" collapsed="false">
      <c r="A289" s="5"/>
      <c r="B289" s="69"/>
      <c r="C289" s="64" t="str">
        <f aca="false">IF(B289="","",TEXT(B289,"DDD"))</f>
        <v/>
      </c>
      <c r="D289" s="36"/>
      <c r="E289" s="36"/>
      <c r="F289" s="4"/>
      <c r="G289" s="70"/>
      <c r="H289" s="36"/>
      <c r="I289" s="66" t="n">
        <v>0</v>
      </c>
      <c r="J289" s="71"/>
      <c r="K289" s="72"/>
      <c r="L289" s="72"/>
      <c r="M289" s="72"/>
      <c r="N289" s="72"/>
      <c r="O289" s="72"/>
      <c r="P289" s="4"/>
      <c r="Q289" s="72"/>
      <c r="R289" s="72"/>
      <c r="S289" s="5"/>
    </row>
    <row r="290" customFormat="false" ht="27.75" hidden="false" customHeight="true" outlineLevel="0" collapsed="false">
      <c r="A290" s="13"/>
      <c r="B290" s="63"/>
      <c r="C290" s="64" t="str">
        <f aca="false">IF(B290="","",TEXT(B290,"DDD"))</f>
        <v/>
      </c>
      <c r="D290" s="32"/>
      <c r="E290" s="32"/>
      <c r="F290" s="33"/>
      <c r="G290" s="65"/>
      <c r="H290" s="32"/>
      <c r="I290" s="66" t="n">
        <v>0</v>
      </c>
      <c r="J290" s="67"/>
      <c r="K290" s="68"/>
      <c r="L290" s="68"/>
      <c r="M290" s="68"/>
      <c r="N290" s="68"/>
      <c r="O290" s="68"/>
      <c r="P290" s="33"/>
      <c r="Q290" s="68"/>
      <c r="R290" s="68"/>
      <c r="S290" s="13"/>
    </row>
    <row r="291" customFormat="false" ht="27.75" hidden="false" customHeight="true" outlineLevel="0" collapsed="false">
      <c r="A291" s="5"/>
      <c r="B291" s="69"/>
      <c r="C291" s="64" t="str">
        <f aca="false">IF(B291="","",TEXT(B291,"DDD"))</f>
        <v/>
      </c>
      <c r="D291" s="36"/>
      <c r="E291" s="36"/>
      <c r="F291" s="4"/>
      <c r="G291" s="70"/>
      <c r="H291" s="36"/>
      <c r="I291" s="66" t="n">
        <v>0</v>
      </c>
      <c r="J291" s="71"/>
      <c r="K291" s="72"/>
      <c r="L291" s="72"/>
      <c r="M291" s="72"/>
      <c r="N291" s="72"/>
      <c r="O291" s="72"/>
      <c r="P291" s="4"/>
      <c r="Q291" s="72"/>
      <c r="R291" s="72"/>
      <c r="S291" s="5"/>
    </row>
    <row r="292" customFormat="false" ht="27.75" hidden="false" customHeight="true" outlineLevel="0" collapsed="false">
      <c r="A292" s="13"/>
      <c r="B292" s="63"/>
      <c r="C292" s="64" t="str">
        <f aca="false">IF(B292="","",TEXT(B292,"DDD"))</f>
        <v/>
      </c>
      <c r="D292" s="32"/>
      <c r="E292" s="32"/>
      <c r="F292" s="33"/>
      <c r="G292" s="65"/>
      <c r="H292" s="32"/>
      <c r="I292" s="66" t="n">
        <v>0</v>
      </c>
      <c r="J292" s="67"/>
      <c r="K292" s="68"/>
      <c r="L292" s="68"/>
      <c r="M292" s="68"/>
      <c r="N292" s="68"/>
      <c r="O292" s="68"/>
      <c r="P292" s="33"/>
      <c r="Q292" s="68"/>
      <c r="R292" s="68"/>
      <c r="S292" s="13"/>
    </row>
    <row r="293" customFormat="false" ht="27.75" hidden="false" customHeight="true" outlineLevel="0" collapsed="false">
      <c r="A293" s="5"/>
      <c r="B293" s="69"/>
      <c r="C293" s="64" t="str">
        <f aca="false">IF(B293="","",TEXT(B293,"DDD"))</f>
        <v/>
      </c>
      <c r="D293" s="36"/>
      <c r="E293" s="36"/>
      <c r="F293" s="4"/>
      <c r="G293" s="70"/>
      <c r="H293" s="36"/>
      <c r="I293" s="66" t="n">
        <v>0</v>
      </c>
      <c r="J293" s="71"/>
      <c r="K293" s="72"/>
      <c r="L293" s="72"/>
      <c r="M293" s="72"/>
      <c r="N293" s="72"/>
      <c r="O293" s="72"/>
      <c r="P293" s="4"/>
      <c r="Q293" s="72"/>
      <c r="R293" s="72"/>
      <c r="S293" s="5"/>
    </row>
    <row r="294" customFormat="false" ht="27.75" hidden="false" customHeight="true" outlineLevel="0" collapsed="false">
      <c r="A294" s="13"/>
      <c r="B294" s="63"/>
      <c r="C294" s="64" t="str">
        <f aca="false">IF(B294="","",TEXT(B294,"DDD"))</f>
        <v/>
      </c>
      <c r="D294" s="32"/>
      <c r="E294" s="32"/>
      <c r="F294" s="33"/>
      <c r="G294" s="65"/>
      <c r="H294" s="32"/>
      <c r="I294" s="66" t="n">
        <v>0</v>
      </c>
      <c r="J294" s="67"/>
      <c r="K294" s="68"/>
      <c r="L294" s="68"/>
      <c r="M294" s="68"/>
      <c r="N294" s="68"/>
      <c r="O294" s="68"/>
      <c r="P294" s="33"/>
      <c r="Q294" s="68"/>
      <c r="R294" s="68"/>
      <c r="S294" s="13"/>
    </row>
    <row r="295" customFormat="false" ht="27.75" hidden="false" customHeight="true" outlineLevel="0" collapsed="false">
      <c r="A295" s="5"/>
      <c r="B295" s="69"/>
      <c r="C295" s="64" t="str">
        <f aca="false">IF(B295="","",TEXT(B295,"DDD"))</f>
        <v/>
      </c>
      <c r="D295" s="36"/>
      <c r="E295" s="36"/>
      <c r="F295" s="4"/>
      <c r="G295" s="70"/>
      <c r="H295" s="36"/>
      <c r="I295" s="66" t="n">
        <v>0</v>
      </c>
      <c r="J295" s="71"/>
      <c r="K295" s="72"/>
      <c r="L295" s="72"/>
      <c r="M295" s="72"/>
      <c r="N295" s="72"/>
      <c r="O295" s="72"/>
      <c r="P295" s="4"/>
      <c r="Q295" s="72"/>
      <c r="R295" s="72"/>
      <c r="S295" s="5"/>
    </row>
    <row r="296" customFormat="false" ht="27.75" hidden="false" customHeight="true" outlineLevel="0" collapsed="false">
      <c r="A296" s="13"/>
      <c r="B296" s="63"/>
      <c r="C296" s="64" t="str">
        <f aca="false">IF(B296="","",TEXT(B296,"DDD"))</f>
        <v/>
      </c>
      <c r="D296" s="32"/>
      <c r="E296" s="32"/>
      <c r="F296" s="33"/>
      <c r="G296" s="65"/>
      <c r="H296" s="32"/>
      <c r="I296" s="66" t="n">
        <v>0</v>
      </c>
      <c r="J296" s="67"/>
      <c r="K296" s="68"/>
      <c r="L296" s="68"/>
      <c r="M296" s="68"/>
      <c r="N296" s="68"/>
      <c r="O296" s="68"/>
      <c r="P296" s="33"/>
      <c r="Q296" s="68"/>
      <c r="R296" s="68"/>
      <c r="S296" s="13"/>
    </row>
    <row r="297" customFormat="false" ht="27.75" hidden="false" customHeight="true" outlineLevel="0" collapsed="false">
      <c r="A297" s="5"/>
      <c r="B297" s="69"/>
      <c r="C297" s="64" t="str">
        <f aca="false">IF(B297="","",TEXT(B297,"DDD"))</f>
        <v/>
      </c>
      <c r="D297" s="36"/>
      <c r="E297" s="36"/>
      <c r="F297" s="4"/>
      <c r="G297" s="70"/>
      <c r="H297" s="36"/>
      <c r="I297" s="66" t="n">
        <v>0</v>
      </c>
      <c r="J297" s="71"/>
      <c r="K297" s="72"/>
      <c r="L297" s="72"/>
      <c r="M297" s="72"/>
      <c r="N297" s="72"/>
      <c r="O297" s="72"/>
      <c r="P297" s="4"/>
      <c r="Q297" s="72"/>
      <c r="R297" s="72"/>
      <c r="S297" s="5"/>
    </row>
    <row r="298" customFormat="false" ht="27.75" hidden="false" customHeight="true" outlineLevel="0" collapsed="false">
      <c r="A298" s="13"/>
      <c r="B298" s="63"/>
      <c r="C298" s="64" t="str">
        <f aca="false">IF(B298="","",TEXT(B298,"DDD"))</f>
        <v/>
      </c>
      <c r="D298" s="32"/>
      <c r="E298" s="32"/>
      <c r="F298" s="33"/>
      <c r="G298" s="65"/>
      <c r="H298" s="32"/>
      <c r="I298" s="66" t="n">
        <v>0</v>
      </c>
      <c r="J298" s="67"/>
      <c r="K298" s="68"/>
      <c r="L298" s="68"/>
      <c r="M298" s="68"/>
      <c r="N298" s="68"/>
      <c r="O298" s="68"/>
      <c r="P298" s="33"/>
      <c r="Q298" s="68"/>
      <c r="R298" s="68"/>
      <c r="S298" s="13"/>
    </row>
    <row r="299" customFormat="false" ht="27.75" hidden="false" customHeight="true" outlineLevel="0" collapsed="false">
      <c r="A299" s="5"/>
      <c r="B299" s="69"/>
      <c r="C299" s="64" t="str">
        <f aca="false">IF(B299="","",TEXT(B299,"DDD"))</f>
        <v/>
      </c>
      <c r="D299" s="36"/>
      <c r="E299" s="36"/>
      <c r="F299" s="4"/>
      <c r="G299" s="70"/>
      <c r="H299" s="36"/>
      <c r="I299" s="66" t="n">
        <v>0</v>
      </c>
      <c r="J299" s="71"/>
      <c r="K299" s="72"/>
      <c r="L299" s="72"/>
      <c r="M299" s="72"/>
      <c r="N299" s="72"/>
      <c r="O299" s="72"/>
      <c r="P299" s="4"/>
      <c r="Q299" s="72"/>
      <c r="R299" s="72"/>
      <c r="S299" s="5"/>
    </row>
    <row r="300" customFormat="false" ht="27.75" hidden="false" customHeight="true" outlineLevel="0" collapsed="false">
      <c r="A300" s="13"/>
      <c r="B300" s="63"/>
      <c r="C300" s="64" t="str">
        <f aca="false">IF(B300="","",TEXT(B300,"DDD"))</f>
        <v/>
      </c>
      <c r="D300" s="32"/>
      <c r="E300" s="32"/>
      <c r="F300" s="33"/>
      <c r="G300" s="65"/>
      <c r="H300" s="32"/>
      <c r="I300" s="66" t="n">
        <v>0</v>
      </c>
      <c r="J300" s="67"/>
      <c r="K300" s="68"/>
      <c r="L300" s="68"/>
      <c r="M300" s="68"/>
      <c r="N300" s="68"/>
      <c r="O300" s="68"/>
      <c r="P300" s="33"/>
      <c r="Q300" s="68"/>
      <c r="R300" s="68"/>
      <c r="S300" s="13"/>
    </row>
    <row r="301" customFormat="false" ht="27.75" hidden="false" customHeight="true" outlineLevel="0" collapsed="false">
      <c r="A301" s="5"/>
      <c r="B301" s="69"/>
      <c r="C301" s="64" t="str">
        <f aca="false">IF(B301="","",TEXT(B301,"DDD"))</f>
        <v/>
      </c>
      <c r="D301" s="36"/>
      <c r="E301" s="36"/>
      <c r="F301" s="4"/>
      <c r="G301" s="70"/>
      <c r="H301" s="36"/>
      <c r="I301" s="66" t="n">
        <v>0</v>
      </c>
      <c r="J301" s="71"/>
      <c r="K301" s="72"/>
      <c r="L301" s="72"/>
      <c r="M301" s="72"/>
      <c r="N301" s="72"/>
      <c r="O301" s="72"/>
      <c r="P301" s="4"/>
      <c r="Q301" s="72"/>
      <c r="R301" s="72"/>
      <c r="S301" s="5"/>
    </row>
    <row r="302" customFormat="false" ht="27.75" hidden="false" customHeight="true" outlineLevel="0" collapsed="false">
      <c r="A302" s="13"/>
      <c r="B302" s="63"/>
      <c r="C302" s="64" t="str">
        <f aca="false">IF(B302="","",TEXT(B302,"DDD"))</f>
        <v/>
      </c>
      <c r="D302" s="32"/>
      <c r="E302" s="32"/>
      <c r="F302" s="33"/>
      <c r="G302" s="65"/>
      <c r="H302" s="32"/>
      <c r="I302" s="66" t="n">
        <v>0</v>
      </c>
      <c r="J302" s="67"/>
      <c r="K302" s="68"/>
      <c r="L302" s="68"/>
      <c r="M302" s="68"/>
      <c r="N302" s="68"/>
      <c r="O302" s="68"/>
      <c r="P302" s="33"/>
      <c r="Q302" s="68"/>
      <c r="R302" s="68"/>
      <c r="S302" s="13"/>
    </row>
    <row r="303" customFormat="false" ht="27.75" hidden="false" customHeight="true" outlineLevel="0" collapsed="false">
      <c r="A303" s="5"/>
      <c r="B303" s="69"/>
      <c r="C303" s="64" t="str">
        <f aca="false">IF(B303="","",TEXT(B303,"DDD"))</f>
        <v/>
      </c>
      <c r="D303" s="36"/>
      <c r="E303" s="36"/>
      <c r="F303" s="4"/>
      <c r="G303" s="70"/>
      <c r="H303" s="36"/>
      <c r="I303" s="66" t="n">
        <v>0</v>
      </c>
      <c r="J303" s="71"/>
      <c r="K303" s="72"/>
      <c r="L303" s="72"/>
      <c r="M303" s="72"/>
      <c r="N303" s="72"/>
      <c r="O303" s="72"/>
      <c r="P303" s="4"/>
      <c r="Q303" s="72"/>
      <c r="R303" s="72"/>
      <c r="S303" s="5"/>
    </row>
    <row r="304" customFormat="false" ht="27.75" hidden="false" customHeight="true" outlineLevel="0" collapsed="false">
      <c r="A304" s="13"/>
      <c r="B304" s="63"/>
      <c r="C304" s="64" t="str">
        <f aca="false">IF(B304="","",TEXT(B304,"DDD"))</f>
        <v/>
      </c>
      <c r="D304" s="32"/>
      <c r="E304" s="32"/>
      <c r="F304" s="33"/>
      <c r="G304" s="65"/>
      <c r="H304" s="32"/>
      <c r="I304" s="66" t="n">
        <v>0</v>
      </c>
      <c r="J304" s="67"/>
      <c r="K304" s="68"/>
      <c r="L304" s="68"/>
      <c r="M304" s="68"/>
      <c r="N304" s="68"/>
      <c r="O304" s="68"/>
      <c r="P304" s="33"/>
      <c r="Q304" s="68"/>
      <c r="R304" s="68"/>
      <c r="S304" s="13"/>
    </row>
    <row r="305" customFormat="false" ht="27.75" hidden="false" customHeight="true" outlineLevel="0" collapsed="false">
      <c r="A305" s="5"/>
      <c r="B305" s="69"/>
      <c r="C305" s="64" t="str">
        <f aca="false">IF(B305="","",TEXT(B305,"DDD"))</f>
        <v/>
      </c>
      <c r="D305" s="36"/>
      <c r="E305" s="36"/>
      <c r="F305" s="4"/>
      <c r="G305" s="70"/>
      <c r="H305" s="36"/>
      <c r="I305" s="66" t="n">
        <v>0</v>
      </c>
      <c r="J305" s="71"/>
      <c r="K305" s="72"/>
      <c r="L305" s="72"/>
      <c r="M305" s="72"/>
      <c r="N305" s="72"/>
      <c r="O305" s="72"/>
      <c r="P305" s="4"/>
      <c r="Q305" s="72"/>
      <c r="R305" s="72"/>
      <c r="S305" s="5"/>
    </row>
    <row r="306" customFormat="false" ht="27.75" hidden="false" customHeight="true" outlineLevel="0" collapsed="false">
      <c r="A306" s="13"/>
      <c r="B306" s="63"/>
      <c r="C306" s="64" t="str">
        <f aca="false">IF(B306="","",TEXT(B306,"DDD"))</f>
        <v/>
      </c>
      <c r="D306" s="32"/>
      <c r="E306" s="32"/>
      <c r="F306" s="33"/>
      <c r="G306" s="65"/>
      <c r="H306" s="32"/>
      <c r="I306" s="66" t="n">
        <v>0</v>
      </c>
      <c r="J306" s="67"/>
      <c r="K306" s="68"/>
      <c r="L306" s="68"/>
      <c r="M306" s="68"/>
      <c r="N306" s="68"/>
      <c r="O306" s="68"/>
      <c r="P306" s="33"/>
      <c r="Q306" s="68"/>
      <c r="R306" s="68"/>
      <c r="S306" s="13"/>
    </row>
    <row r="307" customFormat="false" ht="27.75" hidden="false" customHeight="true" outlineLevel="0" collapsed="false">
      <c r="A307" s="5"/>
      <c r="B307" s="69"/>
      <c r="C307" s="64" t="str">
        <f aca="false">IF(B307="","",TEXT(B307,"DDD"))</f>
        <v/>
      </c>
      <c r="D307" s="36"/>
      <c r="E307" s="36"/>
      <c r="F307" s="4"/>
      <c r="G307" s="70"/>
      <c r="H307" s="36"/>
      <c r="I307" s="66" t="n">
        <v>0</v>
      </c>
      <c r="J307" s="71"/>
      <c r="K307" s="72"/>
      <c r="L307" s="72"/>
      <c r="M307" s="72"/>
      <c r="N307" s="72"/>
      <c r="O307" s="72"/>
      <c r="P307" s="4"/>
      <c r="Q307" s="72"/>
      <c r="R307" s="72"/>
      <c r="S307" s="5"/>
    </row>
    <row r="308" customFormat="false" ht="27.75" hidden="false" customHeight="true" outlineLevel="0" collapsed="false">
      <c r="A308" s="13"/>
      <c r="B308" s="63"/>
      <c r="C308" s="64" t="str">
        <f aca="false">IF(B308="","",TEXT(B308,"DDD"))</f>
        <v/>
      </c>
      <c r="D308" s="32"/>
      <c r="E308" s="32"/>
      <c r="F308" s="33"/>
      <c r="G308" s="65"/>
      <c r="H308" s="32"/>
      <c r="I308" s="66" t="n">
        <v>0</v>
      </c>
      <c r="J308" s="67"/>
      <c r="K308" s="68"/>
      <c r="L308" s="68"/>
      <c r="M308" s="68"/>
      <c r="N308" s="68"/>
      <c r="O308" s="68"/>
      <c r="P308" s="33"/>
      <c r="Q308" s="68"/>
      <c r="R308" s="68"/>
      <c r="S308" s="13"/>
    </row>
    <row r="309" customFormat="false" ht="27.75" hidden="false" customHeight="true" outlineLevel="0" collapsed="false">
      <c r="A309" s="5"/>
      <c r="B309" s="69"/>
      <c r="C309" s="64" t="str">
        <f aca="false">IF(B309="","",TEXT(B309,"DDD"))</f>
        <v/>
      </c>
      <c r="D309" s="36"/>
      <c r="E309" s="36"/>
      <c r="F309" s="4"/>
      <c r="G309" s="70"/>
      <c r="H309" s="36"/>
      <c r="I309" s="66" t="n">
        <v>0</v>
      </c>
      <c r="J309" s="71"/>
      <c r="K309" s="72"/>
      <c r="L309" s="72"/>
      <c r="M309" s="72"/>
      <c r="N309" s="72"/>
      <c r="O309" s="72"/>
      <c r="P309" s="4"/>
      <c r="Q309" s="72"/>
      <c r="R309" s="72"/>
      <c r="S309" s="5"/>
    </row>
    <row r="310" customFormat="false" ht="27.75" hidden="false" customHeight="true" outlineLevel="0" collapsed="false">
      <c r="A310" s="13"/>
      <c r="B310" s="63"/>
      <c r="C310" s="64" t="str">
        <f aca="false">IF(B310="","",TEXT(B310,"DDD"))</f>
        <v/>
      </c>
      <c r="D310" s="32"/>
      <c r="E310" s="32"/>
      <c r="F310" s="33"/>
      <c r="G310" s="65"/>
      <c r="H310" s="32"/>
      <c r="I310" s="66" t="n">
        <v>0</v>
      </c>
      <c r="J310" s="67"/>
      <c r="K310" s="68"/>
      <c r="L310" s="68"/>
      <c r="M310" s="68"/>
      <c r="N310" s="68"/>
      <c r="O310" s="68"/>
      <c r="P310" s="33"/>
      <c r="Q310" s="68"/>
      <c r="R310" s="68"/>
      <c r="S310" s="13"/>
    </row>
    <row r="311" customFormat="false" ht="27.75" hidden="false" customHeight="true" outlineLevel="0" collapsed="false">
      <c r="A311" s="5"/>
      <c r="B311" s="69"/>
      <c r="C311" s="64" t="str">
        <f aca="false">IF(B311="","",TEXT(B311,"DDD"))</f>
        <v/>
      </c>
      <c r="D311" s="36"/>
      <c r="E311" s="36"/>
      <c r="F311" s="4"/>
      <c r="G311" s="70"/>
      <c r="H311" s="36"/>
      <c r="I311" s="66" t="n">
        <v>0</v>
      </c>
      <c r="J311" s="71"/>
      <c r="K311" s="72"/>
      <c r="L311" s="72"/>
      <c r="M311" s="72"/>
      <c r="N311" s="72"/>
      <c r="O311" s="72"/>
      <c r="P311" s="4"/>
      <c r="Q311" s="72"/>
      <c r="R311" s="72"/>
      <c r="S311" s="5"/>
    </row>
    <row r="312" customFormat="false" ht="27.75" hidden="false" customHeight="true" outlineLevel="0" collapsed="false">
      <c r="A312" s="13"/>
      <c r="B312" s="63"/>
      <c r="C312" s="64" t="str">
        <f aca="false">IF(B312="","",TEXT(B312,"DDD"))</f>
        <v/>
      </c>
      <c r="D312" s="32"/>
      <c r="E312" s="32"/>
      <c r="F312" s="33"/>
      <c r="G312" s="65"/>
      <c r="H312" s="32"/>
      <c r="I312" s="66" t="n">
        <v>0</v>
      </c>
      <c r="J312" s="67"/>
      <c r="K312" s="68"/>
      <c r="L312" s="68"/>
      <c r="M312" s="68"/>
      <c r="N312" s="68"/>
      <c r="O312" s="68"/>
      <c r="P312" s="33"/>
      <c r="Q312" s="68"/>
      <c r="R312" s="68"/>
      <c r="S312" s="13"/>
    </row>
    <row r="313" customFormat="false" ht="27.75" hidden="false" customHeight="true" outlineLevel="0" collapsed="false">
      <c r="A313" s="5"/>
      <c r="B313" s="69"/>
      <c r="C313" s="64" t="str">
        <f aca="false">IF(B313="","",TEXT(B313,"DDD"))</f>
        <v/>
      </c>
      <c r="D313" s="36"/>
      <c r="E313" s="36"/>
      <c r="F313" s="4"/>
      <c r="G313" s="70"/>
      <c r="H313" s="36"/>
      <c r="I313" s="66" t="n">
        <v>0</v>
      </c>
      <c r="J313" s="71"/>
      <c r="K313" s="72"/>
      <c r="L313" s="72"/>
      <c r="M313" s="72"/>
      <c r="N313" s="72"/>
      <c r="O313" s="72"/>
      <c r="P313" s="4"/>
      <c r="Q313" s="72"/>
      <c r="R313" s="72"/>
      <c r="S313" s="5"/>
    </row>
    <row r="314" customFormat="false" ht="27.75" hidden="false" customHeight="true" outlineLevel="0" collapsed="false">
      <c r="A314" s="13"/>
      <c r="B314" s="63"/>
      <c r="C314" s="64" t="str">
        <f aca="false">IF(B314="","",TEXT(B314,"DDD"))</f>
        <v/>
      </c>
      <c r="D314" s="32"/>
      <c r="E314" s="32"/>
      <c r="F314" s="33"/>
      <c r="G314" s="65"/>
      <c r="H314" s="32"/>
      <c r="I314" s="66" t="n">
        <v>0</v>
      </c>
      <c r="J314" s="67"/>
      <c r="K314" s="68"/>
      <c r="L314" s="68"/>
      <c r="M314" s="68"/>
      <c r="N314" s="68"/>
      <c r="O314" s="68"/>
      <c r="P314" s="33"/>
      <c r="Q314" s="68"/>
      <c r="R314" s="68"/>
      <c r="S314" s="13"/>
    </row>
    <row r="315" customFormat="false" ht="27.75" hidden="false" customHeight="true" outlineLevel="0" collapsed="false">
      <c r="A315" s="5"/>
      <c r="B315" s="69"/>
      <c r="C315" s="64" t="str">
        <f aca="false">IF(B315="","",TEXT(B315,"DDD"))</f>
        <v/>
      </c>
      <c r="D315" s="36"/>
      <c r="E315" s="36"/>
      <c r="F315" s="4"/>
      <c r="G315" s="70"/>
      <c r="H315" s="36"/>
      <c r="I315" s="66" t="n">
        <v>0</v>
      </c>
      <c r="J315" s="71"/>
      <c r="K315" s="72"/>
      <c r="L315" s="72"/>
      <c r="M315" s="72"/>
      <c r="N315" s="72"/>
      <c r="O315" s="72"/>
      <c r="P315" s="4"/>
      <c r="Q315" s="72"/>
      <c r="R315" s="72"/>
      <c r="S315" s="5"/>
    </row>
    <row r="316" customFormat="false" ht="27.75" hidden="false" customHeight="true" outlineLevel="0" collapsed="false">
      <c r="A316" s="13"/>
      <c r="B316" s="63"/>
      <c r="C316" s="64" t="str">
        <f aca="false">IF(B316="","",TEXT(B316,"DDD"))</f>
        <v/>
      </c>
      <c r="D316" s="32"/>
      <c r="E316" s="32"/>
      <c r="F316" s="33"/>
      <c r="G316" s="65"/>
      <c r="H316" s="32"/>
      <c r="I316" s="66" t="n">
        <v>0</v>
      </c>
      <c r="J316" s="67"/>
      <c r="K316" s="68"/>
      <c r="L316" s="68"/>
      <c r="M316" s="68"/>
      <c r="N316" s="68"/>
      <c r="O316" s="68"/>
      <c r="P316" s="33"/>
      <c r="Q316" s="68"/>
      <c r="R316" s="68"/>
      <c r="S316" s="13"/>
    </row>
    <row r="317" customFormat="false" ht="27.75" hidden="false" customHeight="true" outlineLevel="0" collapsed="false">
      <c r="A317" s="5"/>
      <c r="B317" s="69"/>
      <c r="C317" s="64" t="str">
        <f aca="false">IF(B317="","",TEXT(B317,"DDD"))</f>
        <v/>
      </c>
      <c r="D317" s="36"/>
      <c r="E317" s="36"/>
      <c r="F317" s="4"/>
      <c r="G317" s="70"/>
      <c r="H317" s="36"/>
      <c r="I317" s="66" t="n">
        <v>0</v>
      </c>
      <c r="J317" s="71"/>
      <c r="K317" s="72"/>
      <c r="L317" s="72"/>
      <c r="M317" s="72"/>
      <c r="N317" s="72"/>
      <c r="O317" s="72"/>
      <c r="P317" s="4"/>
      <c r="Q317" s="72"/>
      <c r="R317" s="72"/>
      <c r="S317" s="5"/>
    </row>
    <row r="318" customFormat="false" ht="27.75" hidden="false" customHeight="true" outlineLevel="0" collapsed="false">
      <c r="A318" s="13"/>
      <c r="B318" s="63"/>
      <c r="C318" s="64" t="str">
        <f aca="false">IF(B318="","",TEXT(B318,"DDD"))</f>
        <v/>
      </c>
      <c r="D318" s="32"/>
      <c r="E318" s="32"/>
      <c r="F318" s="33"/>
      <c r="G318" s="65"/>
      <c r="H318" s="32"/>
      <c r="I318" s="66" t="n">
        <v>0</v>
      </c>
      <c r="J318" s="67"/>
      <c r="K318" s="68"/>
      <c r="L318" s="68"/>
      <c r="M318" s="68"/>
      <c r="N318" s="68"/>
      <c r="O318" s="68"/>
      <c r="P318" s="33"/>
      <c r="Q318" s="68"/>
      <c r="R318" s="68"/>
      <c r="S318" s="13"/>
    </row>
    <row r="319" customFormat="false" ht="27.75" hidden="false" customHeight="true" outlineLevel="0" collapsed="false">
      <c r="A319" s="5"/>
      <c r="B319" s="69"/>
      <c r="C319" s="64" t="str">
        <f aca="false">IF(B319="","",TEXT(B319,"DDD"))</f>
        <v/>
      </c>
      <c r="D319" s="36"/>
      <c r="E319" s="36"/>
      <c r="F319" s="4"/>
      <c r="G319" s="70"/>
      <c r="H319" s="36"/>
      <c r="I319" s="66" t="n">
        <v>0</v>
      </c>
      <c r="J319" s="71"/>
      <c r="K319" s="72"/>
      <c r="L319" s="72"/>
      <c r="M319" s="72"/>
      <c r="N319" s="72"/>
      <c r="O319" s="72"/>
      <c r="P319" s="4"/>
      <c r="Q319" s="72"/>
      <c r="R319" s="72"/>
      <c r="S319" s="5"/>
    </row>
    <row r="320" customFormat="false" ht="27.75" hidden="false" customHeight="true" outlineLevel="0" collapsed="false">
      <c r="A320" s="13"/>
      <c r="B320" s="63"/>
      <c r="C320" s="64" t="str">
        <f aca="false">IF(B320="","",TEXT(B320,"DDD"))</f>
        <v/>
      </c>
      <c r="D320" s="32"/>
      <c r="E320" s="32"/>
      <c r="F320" s="33"/>
      <c r="G320" s="65"/>
      <c r="H320" s="32"/>
      <c r="I320" s="66" t="n">
        <v>0</v>
      </c>
      <c r="J320" s="67"/>
      <c r="K320" s="68"/>
      <c r="L320" s="68"/>
      <c r="M320" s="68"/>
      <c r="N320" s="68"/>
      <c r="O320" s="68"/>
      <c r="P320" s="33"/>
      <c r="Q320" s="68"/>
      <c r="R320" s="68"/>
      <c r="S320" s="13"/>
    </row>
    <row r="321" customFormat="false" ht="27.75" hidden="false" customHeight="true" outlineLevel="0" collapsed="false">
      <c r="A321" s="5"/>
      <c r="B321" s="69"/>
      <c r="C321" s="64" t="str">
        <f aca="false">IF(B321="","",TEXT(B321,"DDD"))</f>
        <v/>
      </c>
      <c r="D321" s="36"/>
      <c r="E321" s="36"/>
      <c r="F321" s="4"/>
      <c r="G321" s="70"/>
      <c r="H321" s="36"/>
      <c r="I321" s="66" t="n">
        <v>0</v>
      </c>
      <c r="J321" s="71"/>
      <c r="K321" s="72"/>
      <c r="L321" s="72"/>
      <c r="M321" s="72"/>
      <c r="N321" s="72"/>
      <c r="O321" s="72"/>
      <c r="P321" s="4"/>
      <c r="Q321" s="72"/>
      <c r="R321" s="72"/>
      <c r="S321" s="5"/>
    </row>
    <row r="322" customFormat="false" ht="27.75" hidden="false" customHeight="true" outlineLevel="0" collapsed="false">
      <c r="A322" s="13"/>
      <c r="B322" s="63"/>
      <c r="C322" s="64" t="str">
        <f aca="false">IF(B322="","",TEXT(B322,"DDD"))</f>
        <v/>
      </c>
      <c r="D322" s="32"/>
      <c r="E322" s="32"/>
      <c r="F322" s="33"/>
      <c r="G322" s="65"/>
      <c r="H322" s="32"/>
      <c r="I322" s="66" t="n">
        <v>0</v>
      </c>
      <c r="J322" s="67"/>
      <c r="K322" s="68"/>
      <c r="L322" s="68"/>
      <c r="M322" s="68"/>
      <c r="N322" s="68"/>
      <c r="O322" s="68"/>
      <c r="P322" s="33"/>
      <c r="Q322" s="68"/>
      <c r="R322" s="68"/>
      <c r="S322" s="13"/>
    </row>
    <row r="323" customFormat="false" ht="27.75" hidden="false" customHeight="true" outlineLevel="0" collapsed="false">
      <c r="A323" s="5"/>
      <c r="B323" s="69"/>
      <c r="C323" s="64" t="str">
        <f aca="false">IF(B323="","",TEXT(B323,"DDD"))</f>
        <v/>
      </c>
      <c r="D323" s="36"/>
      <c r="E323" s="36"/>
      <c r="F323" s="4"/>
      <c r="G323" s="70"/>
      <c r="H323" s="36"/>
      <c r="I323" s="66" t="n">
        <v>0</v>
      </c>
      <c r="J323" s="71"/>
      <c r="K323" s="72"/>
      <c r="L323" s="72"/>
      <c r="M323" s="72"/>
      <c r="N323" s="72"/>
      <c r="O323" s="72"/>
      <c r="P323" s="4"/>
      <c r="Q323" s="72"/>
      <c r="R323" s="72"/>
      <c r="S323" s="5"/>
    </row>
    <row r="324" customFormat="false" ht="27.75" hidden="false" customHeight="true" outlineLevel="0" collapsed="false">
      <c r="A324" s="13"/>
      <c r="B324" s="63"/>
      <c r="C324" s="64" t="str">
        <f aca="false">IF(B324="","",TEXT(B324,"DDD"))</f>
        <v/>
      </c>
      <c r="D324" s="32"/>
      <c r="E324" s="32"/>
      <c r="F324" s="33"/>
      <c r="G324" s="65"/>
      <c r="H324" s="32"/>
      <c r="I324" s="66" t="n">
        <v>0</v>
      </c>
      <c r="J324" s="67"/>
      <c r="K324" s="68"/>
      <c r="L324" s="68"/>
      <c r="M324" s="68"/>
      <c r="N324" s="68"/>
      <c r="O324" s="68"/>
      <c r="P324" s="33"/>
      <c r="Q324" s="68"/>
      <c r="R324" s="68"/>
      <c r="S324" s="13"/>
    </row>
    <row r="325" customFormat="false" ht="27.75" hidden="false" customHeight="true" outlineLevel="0" collapsed="false">
      <c r="A325" s="5"/>
      <c r="B325" s="69"/>
      <c r="C325" s="64" t="str">
        <f aca="false">IF(B325="","",TEXT(B325,"DDD"))</f>
        <v/>
      </c>
      <c r="D325" s="36"/>
      <c r="E325" s="36"/>
      <c r="F325" s="4"/>
      <c r="G325" s="70"/>
      <c r="H325" s="36"/>
      <c r="I325" s="66" t="n">
        <v>0</v>
      </c>
      <c r="J325" s="71"/>
      <c r="K325" s="72"/>
      <c r="L325" s="72"/>
      <c r="M325" s="72"/>
      <c r="N325" s="72"/>
      <c r="O325" s="72"/>
      <c r="P325" s="4"/>
      <c r="Q325" s="72"/>
      <c r="R325" s="72"/>
      <c r="S325" s="5"/>
    </row>
    <row r="326" customFormat="false" ht="27.75" hidden="false" customHeight="true" outlineLevel="0" collapsed="false">
      <c r="A326" s="13"/>
      <c r="B326" s="63"/>
      <c r="C326" s="64" t="str">
        <f aca="false">IF(B326="","",TEXT(B326,"DDD"))</f>
        <v/>
      </c>
      <c r="D326" s="32"/>
      <c r="E326" s="32"/>
      <c r="F326" s="33"/>
      <c r="G326" s="65"/>
      <c r="H326" s="32"/>
      <c r="I326" s="66" t="n">
        <v>0</v>
      </c>
      <c r="J326" s="67"/>
      <c r="K326" s="68"/>
      <c r="L326" s="68"/>
      <c r="M326" s="68"/>
      <c r="N326" s="68"/>
      <c r="O326" s="68"/>
      <c r="P326" s="33"/>
      <c r="Q326" s="68"/>
      <c r="R326" s="68"/>
      <c r="S326" s="13"/>
    </row>
    <row r="327" customFormat="false" ht="27.75" hidden="false" customHeight="true" outlineLevel="0" collapsed="false">
      <c r="A327" s="5"/>
      <c r="B327" s="69"/>
      <c r="C327" s="64" t="str">
        <f aca="false">IF(B327="","",TEXT(B327,"DDD"))</f>
        <v/>
      </c>
      <c r="D327" s="36"/>
      <c r="E327" s="36"/>
      <c r="F327" s="4"/>
      <c r="G327" s="70"/>
      <c r="H327" s="36"/>
      <c r="I327" s="66" t="n">
        <v>0</v>
      </c>
      <c r="J327" s="71"/>
      <c r="K327" s="72"/>
      <c r="L327" s="72"/>
      <c r="M327" s="72"/>
      <c r="N327" s="72"/>
      <c r="O327" s="72"/>
      <c r="P327" s="4"/>
      <c r="Q327" s="72"/>
      <c r="R327" s="72"/>
      <c r="S327" s="5"/>
    </row>
    <row r="328" customFormat="false" ht="27.75" hidden="false" customHeight="true" outlineLevel="0" collapsed="false">
      <c r="A328" s="13"/>
      <c r="B328" s="63"/>
      <c r="C328" s="64" t="str">
        <f aca="false">IF(B328="","",TEXT(B328,"DDD"))</f>
        <v/>
      </c>
      <c r="D328" s="32"/>
      <c r="E328" s="32"/>
      <c r="F328" s="33"/>
      <c r="G328" s="65"/>
      <c r="H328" s="32"/>
      <c r="I328" s="66" t="n">
        <v>0</v>
      </c>
      <c r="J328" s="67"/>
      <c r="K328" s="68"/>
      <c r="L328" s="68"/>
      <c r="M328" s="68"/>
      <c r="N328" s="68"/>
      <c r="O328" s="68"/>
      <c r="P328" s="33"/>
      <c r="Q328" s="68"/>
      <c r="R328" s="68"/>
      <c r="S328" s="13"/>
    </row>
    <row r="329" customFormat="false" ht="27.75" hidden="false" customHeight="true" outlineLevel="0" collapsed="false">
      <c r="A329" s="5"/>
      <c r="B329" s="69"/>
      <c r="C329" s="64" t="str">
        <f aca="false">IF(B329="","",TEXT(B329,"DDD"))</f>
        <v/>
      </c>
      <c r="D329" s="36"/>
      <c r="E329" s="36"/>
      <c r="F329" s="4"/>
      <c r="G329" s="70"/>
      <c r="H329" s="36"/>
      <c r="I329" s="66" t="n">
        <v>0</v>
      </c>
      <c r="J329" s="71"/>
      <c r="K329" s="72"/>
      <c r="L329" s="72"/>
      <c r="M329" s="72"/>
      <c r="N329" s="72"/>
      <c r="O329" s="72"/>
      <c r="P329" s="4"/>
      <c r="Q329" s="72"/>
      <c r="R329" s="72"/>
      <c r="S329" s="5"/>
    </row>
    <row r="330" customFormat="false" ht="27.75" hidden="false" customHeight="true" outlineLevel="0" collapsed="false">
      <c r="A330" s="13"/>
      <c r="B330" s="63"/>
      <c r="C330" s="64" t="str">
        <f aca="false">IF(B330="","",TEXT(B330,"DDD"))</f>
        <v/>
      </c>
      <c r="D330" s="32"/>
      <c r="E330" s="32"/>
      <c r="F330" s="33"/>
      <c r="G330" s="65"/>
      <c r="H330" s="32"/>
      <c r="I330" s="66" t="n">
        <v>0</v>
      </c>
      <c r="J330" s="67"/>
      <c r="K330" s="68"/>
      <c r="L330" s="68"/>
      <c r="M330" s="68"/>
      <c r="N330" s="68"/>
      <c r="O330" s="68"/>
      <c r="P330" s="33"/>
      <c r="Q330" s="68"/>
      <c r="R330" s="68"/>
      <c r="S330" s="13"/>
    </row>
    <row r="331" customFormat="false" ht="27.75" hidden="false" customHeight="true" outlineLevel="0" collapsed="false">
      <c r="A331" s="5"/>
      <c r="B331" s="69"/>
      <c r="C331" s="64" t="str">
        <f aca="false">IF(B331="","",TEXT(B331,"DDD"))</f>
        <v/>
      </c>
      <c r="D331" s="36"/>
      <c r="E331" s="36"/>
      <c r="F331" s="4"/>
      <c r="G331" s="70"/>
      <c r="H331" s="36"/>
      <c r="I331" s="66" t="n">
        <v>0</v>
      </c>
      <c r="J331" s="71"/>
      <c r="K331" s="72"/>
      <c r="L331" s="72"/>
      <c r="M331" s="72"/>
      <c r="N331" s="72"/>
      <c r="O331" s="72"/>
      <c r="P331" s="4"/>
      <c r="Q331" s="72"/>
      <c r="R331" s="72"/>
      <c r="S331" s="5"/>
    </row>
    <row r="332" customFormat="false" ht="27.75" hidden="false" customHeight="true" outlineLevel="0" collapsed="false">
      <c r="A332" s="13"/>
      <c r="B332" s="63"/>
      <c r="C332" s="64" t="str">
        <f aca="false">IF(B332="","",TEXT(B332,"DDD"))</f>
        <v/>
      </c>
      <c r="D332" s="32"/>
      <c r="E332" s="32"/>
      <c r="F332" s="33"/>
      <c r="G332" s="65"/>
      <c r="H332" s="32"/>
      <c r="I332" s="66" t="n">
        <v>0</v>
      </c>
      <c r="J332" s="67"/>
      <c r="K332" s="68"/>
      <c r="L332" s="68"/>
      <c r="M332" s="68"/>
      <c r="N332" s="68"/>
      <c r="O332" s="68"/>
      <c r="P332" s="33"/>
      <c r="Q332" s="68"/>
      <c r="R332" s="68"/>
      <c r="S332" s="13"/>
    </row>
    <row r="333" customFormat="false" ht="27.75" hidden="false" customHeight="true" outlineLevel="0" collapsed="false">
      <c r="A333" s="5"/>
      <c r="B333" s="69"/>
      <c r="C333" s="64" t="str">
        <f aca="false">IF(B333="","",TEXT(B333,"DDD"))</f>
        <v/>
      </c>
      <c r="D333" s="36"/>
      <c r="E333" s="36"/>
      <c r="F333" s="4"/>
      <c r="G333" s="70"/>
      <c r="H333" s="36"/>
      <c r="I333" s="66" t="n">
        <v>0</v>
      </c>
      <c r="J333" s="71"/>
      <c r="K333" s="72"/>
      <c r="L333" s="72"/>
      <c r="M333" s="72"/>
      <c r="N333" s="72"/>
      <c r="O333" s="72"/>
      <c r="P333" s="4"/>
      <c r="Q333" s="72"/>
      <c r="R333" s="72"/>
      <c r="S333" s="5"/>
    </row>
    <row r="334" customFormat="false" ht="27.75" hidden="false" customHeight="true" outlineLevel="0" collapsed="false">
      <c r="A334" s="13"/>
      <c r="B334" s="63"/>
      <c r="C334" s="64" t="str">
        <f aca="false">IF(B334="","",TEXT(B334,"DDD"))</f>
        <v/>
      </c>
      <c r="D334" s="32"/>
      <c r="E334" s="32"/>
      <c r="F334" s="33"/>
      <c r="G334" s="65"/>
      <c r="H334" s="32"/>
      <c r="I334" s="66" t="n">
        <v>0</v>
      </c>
      <c r="J334" s="67"/>
      <c r="K334" s="68"/>
      <c r="L334" s="68"/>
      <c r="M334" s="68"/>
      <c r="N334" s="68"/>
      <c r="O334" s="68"/>
      <c r="P334" s="33"/>
      <c r="Q334" s="68"/>
      <c r="R334" s="68"/>
      <c r="S334" s="13"/>
    </row>
    <row r="335" customFormat="false" ht="27.75" hidden="false" customHeight="true" outlineLevel="0" collapsed="false">
      <c r="A335" s="5"/>
      <c r="B335" s="69"/>
      <c r="C335" s="64" t="str">
        <f aca="false">IF(B335="","",TEXT(B335,"DDD"))</f>
        <v/>
      </c>
      <c r="D335" s="36"/>
      <c r="E335" s="36"/>
      <c r="F335" s="4"/>
      <c r="G335" s="70"/>
      <c r="H335" s="36"/>
      <c r="I335" s="66" t="n">
        <v>0</v>
      </c>
      <c r="J335" s="71"/>
      <c r="K335" s="72"/>
      <c r="L335" s="72"/>
      <c r="M335" s="72"/>
      <c r="N335" s="72"/>
      <c r="O335" s="72"/>
      <c r="P335" s="4"/>
      <c r="Q335" s="72"/>
      <c r="R335" s="72"/>
      <c r="S335" s="5"/>
    </row>
    <row r="336" customFormat="false" ht="27.75" hidden="false" customHeight="true" outlineLevel="0" collapsed="false">
      <c r="A336" s="13"/>
      <c r="B336" s="63"/>
      <c r="C336" s="64" t="str">
        <f aca="false">IF(B336="","",TEXT(B336,"DDD"))</f>
        <v/>
      </c>
      <c r="D336" s="32"/>
      <c r="E336" s="32"/>
      <c r="F336" s="33"/>
      <c r="G336" s="65"/>
      <c r="H336" s="32"/>
      <c r="I336" s="66" t="n">
        <v>0</v>
      </c>
      <c r="J336" s="67"/>
      <c r="K336" s="68"/>
      <c r="L336" s="68"/>
      <c r="M336" s="68"/>
      <c r="N336" s="68"/>
      <c r="O336" s="68"/>
      <c r="P336" s="33"/>
      <c r="Q336" s="68"/>
      <c r="R336" s="68"/>
      <c r="S336" s="13"/>
    </row>
    <row r="337" customFormat="false" ht="27.75" hidden="false" customHeight="true" outlineLevel="0" collapsed="false">
      <c r="A337" s="5"/>
      <c r="B337" s="69"/>
      <c r="C337" s="64" t="str">
        <f aca="false">IF(B337="","",TEXT(B337,"DDD"))</f>
        <v/>
      </c>
      <c r="D337" s="36"/>
      <c r="E337" s="36"/>
      <c r="F337" s="4"/>
      <c r="G337" s="70"/>
      <c r="H337" s="36"/>
      <c r="I337" s="66" t="n">
        <v>0</v>
      </c>
      <c r="J337" s="71"/>
      <c r="K337" s="72"/>
      <c r="L337" s="72"/>
      <c r="M337" s="72"/>
      <c r="N337" s="72"/>
      <c r="O337" s="72"/>
      <c r="P337" s="4"/>
      <c r="Q337" s="72"/>
      <c r="R337" s="72"/>
      <c r="S337" s="5"/>
    </row>
    <row r="338" customFormat="false" ht="27.75" hidden="false" customHeight="true" outlineLevel="0" collapsed="false">
      <c r="A338" s="13"/>
      <c r="B338" s="63"/>
      <c r="C338" s="64" t="str">
        <f aca="false">IF(B338="","",TEXT(B338,"DDD"))</f>
        <v/>
      </c>
      <c r="D338" s="32"/>
      <c r="E338" s="32"/>
      <c r="F338" s="33"/>
      <c r="G338" s="65"/>
      <c r="H338" s="32"/>
      <c r="I338" s="66" t="n">
        <v>0</v>
      </c>
      <c r="J338" s="67"/>
      <c r="K338" s="68"/>
      <c r="L338" s="68"/>
      <c r="M338" s="68"/>
      <c r="N338" s="68"/>
      <c r="O338" s="68"/>
      <c r="P338" s="33"/>
      <c r="Q338" s="68"/>
      <c r="R338" s="68"/>
      <c r="S338" s="13"/>
    </row>
    <row r="339" customFormat="false" ht="27.75" hidden="false" customHeight="true" outlineLevel="0" collapsed="false">
      <c r="A339" s="5"/>
      <c r="B339" s="69"/>
      <c r="C339" s="64" t="str">
        <f aca="false">IF(B339="","",TEXT(B339,"DDD"))</f>
        <v/>
      </c>
      <c r="D339" s="36"/>
      <c r="E339" s="36"/>
      <c r="F339" s="4"/>
      <c r="G339" s="70"/>
      <c r="H339" s="36"/>
      <c r="I339" s="66" t="n">
        <v>0</v>
      </c>
      <c r="J339" s="71"/>
      <c r="K339" s="72"/>
      <c r="L339" s="72"/>
      <c r="M339" s="72"/>
      <c r="N339" s="72"/>
      <c r="O339" s="72"/>
      <c r="P339" s="4"/>
      <c r="Q339" s="72"/>
      <c r="R339" s="72"/>
      <c r="S339" s="5"/>
    </row>
    <row r="340" customFormat="false" ht="27.75" hidden="false" customHeight="true" outlineLevel="0" collapsed="false">
      <c r="A340" s="13"/>
      <c r="B340" s="63"/>
      <c r="C340" s="64" t="str">
        <f aca="false">IF(B340="","",TEXT(B340,"DDD"))</f>
        <v/>
      </c>
      <c r="D340" s="32"/>
      <c r="E340" s="32"/>
      <c r="F340" s="33"/>
      <c r="G340" s="65"/>
      <c r="H340" s="32"/>
      <c r="I340" s="66" t="n">
        <v>0</v>
      </c>
      <c r="J340" s="67"/>
      <c r="K340" s="68"/>
      <c r="L340" s="68"/>
      <c r="M340" s="68"/>
      <c r="N340" s="68"/>
      <c r="O340" s="68"/>
      <c r="P340" s="33"/>
      <c r="Q340" s="68"/>
      <c r="R340" s="68"/>
      <c r="S340" s="13"/>
    </row>
    <row r="341" customFormat="false" ht="27.75" hidden="false" customHeight="true" outlineLevel="0" collapsed="false">
      <c r="A341" s="5"/>
      <c r="B341" s="69"/>
      <c r="C341" s="64" t="str">
        <f aca="false">IF(B341="","",TEXT(B341,"DDD"))</f>
        <v/>
      </c>
      <c r="D341" s="36"/>
      <c r="E341" s="36"/>
      <c r="F341" s="4"/>
      <c r="G341" s="70"/>
      <c r="H341" s="36"/>
      <c r="I341" s="66" t="n">
        <v>0</v>
      </c>
      <c r="J341" s="71"/>
      <c r="K341" s="72"/>
      <c r="L341" s="72"/>
      <c r="M341" s="72"/>
      <c r="N341" s="72"/>
      <c r="O341" s="72"/>
      <c r="P341" s="4"/>
      <c r="Q341" s="72"/>
      <c r="R341" s="72"/>
      <c r="S341" s="5"/>
    </row>
    <row r="342" customFormat="false" ht="27.75" hidden="false" customHeight="true" outlineLevel="0" collapsed="false">
      <c r="A342" s="13"/>
      <c r="B342" s="63"/>
      <c r="C342" s="64" t="str">
        <f aca="false">IF(B342="","",TEXT(B342,"DDD"))</f>
        <v/>
      </c>
      <c r="D342" s="32"/>
      <c r="E342" s="32"/>
      <c r="F342" s="33"/>
      <c r="G342" s="65"/>
      <c r="H342" s="32"/>
      <c r="I342" s="66" t="n">
        <v>0</v>
      </c>
      <c r="J342" s="67"/>
      <c r="K342" s="68"/>
      <c r="L342" s="68"/>
      <c r="M342" s="68"/>
      <c r="N342" s="68"/>
      <c r="O342" s="68"/>
      <c r="P342" s="33"/>
      <c r="Q342" s="68"/>
      <c r="R342" s="68"/>
      <c r="S342" s="13"/>
    </row>
    <row r="343" customFormat="false" ht="27.75" hidden="false" customHeight="true" outlineLevel="0" collapsed="false">
      <c r="A343" s="5"/>
      <c r="B343" s="69"/>
      <c r="C343" s="64" t="str">
        <f aca="false">IF(B343="","",TEXT(B343,"DDD"))</f>
        <v/>
      </c>
      <c r="D343" s="36"/>
      <c r="E343" s="36"/>
      <c r="F343" s="4"/>
      <c r="G343" s="70"/>
      <c r="H343" s="36"/>
      <c r="I343" s="66" t="n">
        <v>0</v>
      </c>
      <c r="J343" s="71"/>
      <c r="K343" s="72"/>
      <c r="L343" s="72"/>
      <c r="M343" s="72"/>
      <c r="N343" s="72"/>
      <c r="O343" s="72"/>
      <c r="P343" s="4"/>
      <c r="Q343" s="72"/>
      <c r="R343" s="72"/>
      <c r="S343" s="5"/>
    </row>
    <row r="344" customFormat="false" ht="27.75" hidden="false" customHeight="true" outlineLevel="0" collapsed="false">
      <c r="A344" s="13"/>
      <c r="B344" s="63"/>
      <c r="C344" s="64" t="str">
        <f aca="false">IF(B344="","",TEXT(B344,"DDD"))</f>
        <v/>
      </c>
      <c r="D344" s="32"/>
      <c r="E344" s="32"/>
      <c r="F344" s="33"/>
      <c r="G344" s="65"/>
      <c r="H344" s="32"/>
      <c r="I344" s="66" t="n">
        <v>0</v>
      </c>
      <c r="J344" s="67"/>
      <c r="K344" s="68"/>
      <c r="L344" s="68"/>
      <c r="M344" s="68"/>
      <c r="N344" s="68"/>
      <c r="O344" s="68"/>
      <c r="P344" s="33"/>
      <c r="Q344" s="68"/>
      <c r="R344" s="68"/>
      <c r="S344" s="13"/>
    </row>
    <row r="345" customFormat="false" ht="27.75" hidden="false" customHeight="true" outlineLevel="0" collapsed="false">
      <c r="A345" s="5"/>
      <c r="B345" s="69"/>
      <c r="C345" s="64" t="str">
        <f aca="false">IF(B345="","",TEXT(B345,"DDD"))</f>
        <v/>
      </c>
      <c r="D345" s="36"/>
      <c r="E345" s="36"/>
      <c r="F345" s="4"/>
      <c r="G345" s="70"/>
      <c r="H345" s="36"/>
      <c r="I345" s="66" t="n">
        <v>0</v>
      </c>
      <c r="J345" s="71"/>
      <c r="K345" s="72"/>
      <c r="L345" s="72"/>
      <c r="M345" s="72"/>
      <c r="N345" s="72"/>
      <c r="O345" s="72"/>
      <c r="P345" s="4"/>
      <c r="Q345" s="72"/>
      <c r="R345" s="72"/>
      <c r="S345" s="5"/>
    </row>
    <row r="346" customFormat="false" ht="27.75" hidden="false" customHeight="true" outlineLevel="0" collapsed="false">
      <c r="A346" s="13"/>
      <c r="B346" s="63"/>
      <c r="C346" s="64" t="str">
        <f aca="false">IF(B346="","",TEXT(B346,"DDD"))</f>
        <v/>
      </c>
      <c r="D346" s="32"/>
      <c r="E346" s="32"/>
      <c r="F346" s="33"/>
      <c r="G346" s="65"/>
      <c r="H346" s="32"/>
      <c r="I346" s="66" t="n">
        <v>0</v>
      </c>
      <c r="J346" s="67"/>
      <c r="K346" s="68"/>
      <c r="L346" s="68"/>
      <c r="M346" s="68"/>
      <c r="N346" s="68"/>
      <c r="O346" s="68"/>
      <c r="P346" s="33"/>
      <c r="Q346" s="68"/>
      <c r="R346" s="68"/>
      <c r="S346" s="13"/>
    </row>
    <row r="347" customFormat="false" ht="27.75" hidden="false" customHeight="true" outlineLevel="0" collapsed="false">
      <c r="A347" s="5"/>
      <c r="B347" s="69"/>
      <c r="C347" s="64" t="str">
        <f aca="false">IF(B347="","",TEXT(B347,"DDD"))</f>
        <v/>
      </c>
      <c r="D347" s="36"/>
      <c r="E347" s="36"/>
      <c r="F347" s="4"/>
      <c r="G347" s="70"/>
      <c r="H347" s="36"/>
      <c r="I347" s="66" t="n">
        <v>0</v>
      </c>
      <c r="J347" s="71"/>
      <c r="K347" s="72"/>
      <c r="L347" s="72"/>
      <c r="M347" s="72"/>
      <c r="N347" s="72"/>
      <c r="O347" s="72"/>
      <c r="P347" s="4"/>
      <c r="Q347" s="72"/>
      <c r="R347" s="72"/>
      <c r="S347" s="5"/>
    </row>
    <row r="348" customFormat="false" ht="27.75" hidden="false" customHeight="true" outlineLevel="0" collapsed="false">
      <c r="A348" s="13"/>
      <c r="B348" s="63"/>
      <c r="C348" s="64" t="str">
        <f aca="false">IF(B348="","",TEXT(B348,"DDD"))</f>
        <v/>
      </c>
      <c r="D348" s="32"/>
      <c r="E348" s="32"/>
      <c r="F348" s="33"/>
      <c r="G348" s="65"/>
      <c r="H348" s="32"/>
      <c r="I348" s="66" t="n">
        <v>0</v>
      </c>
      <c r="J348" s="67"/>
      <c r="K348" s="68"/>
      <c r="L348" s="68"/>
      <c r="M348" s="68"/>
      <c r="N348" s="68"/>
      <c r="O348" s="68"/>
      <c r="P348" s="33"/>
      <c r="Q348" s="68"/>
      <c r="R348" s="68"/>
      <c r="S348" s="13"/>
    </row>
    <row r="349" customFormat="false" ht="27.75" hidden="false" customHeight="true" outlineLevel="0" collapsed="false">
      <c r="A349" s="5"/>
      <c r="B349" s="69"/>
      <c r="C349" s="64" t="str">
        <f aca="false">IF(B349="","",TEXT(B349,"DDD"))</f>
        <v/>
      </c>
      <c r="D349" s="36"/>
      <c r="E349" s="36"/>
      <c r="F349" s="4"/>
      <c r="G349" s="70"/>
      <c r="H349" s="36"/>
      <c r="I349" s="66" t="n">
        <v>0</v>
      </c>
      <c r="J349" s="71"/>
      <c r="K349" s="72"/>
      <c r="L349" s="72"/>
      <c r="M349" s="72"/>
      <c r="N349" s="72"/>
      <c r="O349" s="72"/>
      <c r="P349" s="4"/>
      <c r="Q349" s="72"/>
      <c r="R349" s="72"/>
      <c r="S349" s="5"/>
    </row>
    <row r="350" customFormat="false" ht="27.75" hidden="false" customHeight="true" outlineLevel="0" collapsed="false">
      <c r="A350" s="13"/>
      <c r="B350" s="63"/>
      <c r="C350" s="64" t="str">
        <f aca="false">IF(B350="","",TEXT(B350,"DDD"))</f>
        <v/>
      </c>
      <c r="D350" s="32"/>
      <c r="E350" s="32"/>
      <c r="F350" s="33"/>
      <c r="G350" s="65"/>
      <c r="H350" s="32"/>
      <c r="I350" s="66" t="n">
        <v>0</v>
      </c>
      <c r="J350" s="67"/>
      <c r="K350" s="68"/>
      <c r="L350" s="68"/>
      <c r="M350" s="68"/>
      <c r="N350" s="68"/>
      <c r="O350" s="68"/>
      <c r="P350" s="33"/>
      <c r="Q350" s="68"/>
      <c r="R350" s="68"/>
      <c r="S350" s="13"/>
    </row>
    <row r="351" customFormat="false" ht="27.75" hidden="false" customHeight="true" outlineLevel="0" collapsed="false">
      <c r="A351" s="5"/>
      <c r="B351" s="69"/>
      <c r="C351" s="64" t="str">
        <f aca="false">IF(B351="","",TEXT(B351,"DDD"))</f>
        <v/>
      </c>
      <c r="D351" s="36"/>
      <c r="E351" s="36"/>
      <c r="F351" s="4"/>
      <c r="G351" s="70"/>
      <c r="H351" s="36"/>
      <c r="I351" s="66" t="n">
        <v>0</v>
      </c>
      <c r="J351" s="71"/>
      <c r="K351" s="72"/>
      <c r="L351" s="72"/>
      <c r="M351" s="72"/>
      <c r="N351" s="72"/>
      <c r="O351" s="72"/>
      <c r="P351" s="4"/>
      <c r="Q351" s="72"/>
      <c r="R351" s="72"/>
      <c r="S351" s="5"/>
    </row>
    <row r="352" customFormat="false" ht="27.75" hidden="false" customHeight="true" outlineLevel="0" collapsed="false">
      <c r="A352" s="13"/>
      <c r="B352" s="63"/>
      <c r="C352" s="64" t="str">
        <f aca="false">IF(B352="","",TEXT(B352,"DDD"))</f>
        <v/>
      </c>
      <c r="D352" s="32"/>
      <c r="E352" s="32"/>
      <c r="F352" s="33"/>
      <c r="G352" s="65"/>
      <c r="H352" s="32"/>
      <c r="I352" s="66" t="n">
        <v>0</v>
      </c>
      <c r="J352" s="67"/>
      <c r="K352" s="68"/>
      <c r="L352" s="68"/>
      <c r="M352" s="68"/>
      <c r="N352" s="68"/>
      <c r="O352" s="68"/>
      <c r="P352" s="33"/>
      <c r="Q352" s="68"/>
      <c r="R352" s="68"/>
      <c r="S352" s="13"/>
    </row>
    <row r="353" customFormat="false" ht="27.75" hidden="false" customHeight="true" outlineLevel="0" collapsed="false">
      <c r="A353" s="5"/>
      <c r="B353" s="69"/>
      <c r="C353" s="64" t="str">
        <f aca="false">IF(B353="","",TEXT(B353,"DDD"))</f>
        <v/>
      </c>
      <c r="D353" s="36"/>
      <c r="E353" s="36"/>
      <c r="F353" s="4"/>
      <c r="G353" s="70"/>
      <c r="H353" s="36"/>
      <c r="I353" s="66" t="n">
        <v>0</v>
      </c>
      <c r="J353" s="71"/>
      <c r="K353" s="72"/>
      <c r="L353" s="72"/>
      <c r="M353" s="72"/>
      <c r="N353" s="72"/>
      <c r="O353" s="72"/>
      <c r="P353" s="4"/>
      <c r="Q353" s="72"/>
      <c r="R353" s="72"/>
      <c r="S353" s="5"/>
    </row>
    <row r="354" customFormat="false" ht="27.75" hidden="false" customHeight="true" outlineLevel="0" collapsed="false">
      <c r="A354" s="13"/>
      <c r="B354" s="63"/>
      <c r="C354" s="64" t="str">
        <f aca="false">IF(B354="","",TEXT(B354,"DDD"))</f>
        <v/>
      </c>
      <c r="D354" s="32"/>
      <c r="E354" s="32"/>
      <c r="F354" s="33"/>
      <c r="G354" s="65"/>
      <c r="H354" s="32"/>
      <c r="I354" s="66" t="n">
        <v>0</v>
      </c>
      <c r="J354" s="67"/>
      <c r="K354" s="68"/>
      <c r="L354" s="68"/>
      <c r="M354" s="68"/>
      <c r="N354" s="68"/>
      <c r="O354" s="68"/>
      <c r="P354" s="33"/>
      <c r="Q354" s="68"/>
      <c r="R354" s="68"/>
      <c r="S354" s="13"/>
    </row>
    <row r="355" customFormat="false" ht="27.75" hidden="false" customHeight="true" outlineLevel="0" collapsed="false">
      <c r="A355" s="5"/>
      <c r="B355" s="69"/>
      <c r="C355" s="64" t="str">
        <f aca="false">IF(B355="","",TEXT(B355,"DDD"))</f>
        <v/>
      </c>
      <c r="D355" s="36"/>
      <c r="E355" s="36"/>
      <c r="F355" s="4"/>
      <c r="G355" s="70"/>
      <c r="H355" s="36"/>
      <c r="I355" s="66" t="n">
        <v>0</v>
      </c>
      <c r="J355" s="71"/>
      <c r="K355" s="72"/>
      <c r="L355" s="72"/>
      <c r="M355" s="72"/>
      <c r="N355" s="72"/>
      <c r="O355" s="72"/>
      <c r="P355" s="4"/>
      <c r="Q355" s="72"/>
      <c r="R355" s="72"/>
      <c r="S355" s="5"/>
    </row>
    <row r="356" customFormat="false" ht="27.75" hidden="false" customHeight="true" outlineLevel="0" collapsed="false">
      <c r="A356" s="13"/>
      <c r="B356" s="63"/>
      <c r="C356" s="64" t="str">
        <f aca="false">IF(B356="","",TEXT(B356,"DDD"))</f>
        <v/>
      </c>
      <c r="D356" s="32"/>
      <c r="E356" s="32"/>
      <c r="F356" s="33"/>
      <c r="G356" s="65"/>
      <c r="H356" s="32"/>
      <c r="I356" s="66" t="n">
        <v>0</v>
      </c>
      <c r="J356" s="67"/>
      <c r="K356" s="68"/>
      <c r="L356" s="68"/>
      <c r="M356" s="68"/>
      <c r="N356" s="68"/>
      <c r="O356" s="68"/>
      <c r="P356" s="33"/>
      <c r="Q356" s="68"/>
      <c r="R356" s="68"/>
      <c r="S356" s="13"/>
    </row>
    <row r="357" customFormat="false" ht="27.75" hidden="false" customHeight="true" outlineLevel="0" collapsed="false">
      <c r="A357" s="5"/>
      <c r="B357" s="69"/>
      <c r="C357" s="64" t="str">
        <f aca="false">IF(B357="","",TEXT(B357,"DDD"))</f>
        <v/>
      </c>
      <c r="D357" s="36"/>
      <c r="E357" s="36"/>
      <c r="F357" s="4"/>
      <c r="G357" s="70"/>
      <c r="H357" s="36"/>
      <c r="I357" s="66" t="n">
        <v>0</v>
      </c>
      <c r="J357" s="71"/>
      <c r="K357" s="72"/>
      <c r="L357" s="72"/>
      <c r="M357" s="72"/>
      <c r="N357" s="72"/>
      <c r="O357" s="72"/>
      <c r="P357" s="4"/>
      <c r="Q357" s="72"/>
      <c r="R357" s="72"/>
      <c r="S357" s="5"/>
    </row>
    <row r="358" customFormat="false" ht="27.75" hidden="false" customHeight="true" outlineLevel="0" collapsed="false">
      <c r="A358" s="13"/>
      <c r="B358" s="63"/>
      <c r="C358" s="64" t="str">
        <f aca="false">IF(B358="","",TEXT(B358,"DDD"))</f>
        <v/>
      </c>
      <c r="D358" s="32"/>
      <c r="E358" s="32"/>
      <c r="F358" s="33"/>
      <c r="G358" s="65"/>
      <c r="H358" s="32"/>
      <c r="I358" s="66" t="n">
        <v>0</v>
      </c>
      <c r="J358" s="67"/>
      <c r="K358" s="68"/>
      <c r="L358" s="68"/>
      <c r="M358" s="68"/>
      <c r="N358" s="68"/>
      <c r="O358" s="68"/>
      <c r="P358" s="33"/>
      <c r="Q358" s="68"/>
      <c r="R358" s="68"/>
      <c r="S358" s="13"/>
    </row>
    <row r="359" customFormat="false" ht="27.75" hidden="false" customHeight="true" outlineLevel="0" collapsed="false">
      <c r="A359" s="5"/>
      <c r="B359" s="69"/>
      <c r="C359" s="64" t="str">
        <f aca="false">IF(B359="","",TEXT(B359,"DDD"))</f>
        <v/>
      </c>
      <c r="D359" s="36"/>
      <c r="E359" s="36"/>
      <c r="F359" s="4"/>
      <c r="G359" s="70"/>
      <c r="H359" s="36"/>
      <c r="I359" s="66" t="n">
        <v>0</v>
      </c>
      <c r="J359" s="71"/>
      <c r="K359" s="72"/>
      <c r="L359" s="72"/>
      <c r="M359" s="72"/>
      <c r="N359" s="72"/>
      <c r="O359" s="72"/>
      <c r="P359" s="4"/>
      <c r="Q359" s="72"/>
      <c r="R359" s="72"/>
      <c r="S359" s="5"/>
    </row>
    <row r="360" customFormat="false" ht="27.75" hidden="false" customHeight="true" outlineLevel="0" collapsed="false">
      <c r="A360" s="13"/>
      <c r="B360" s="63"/>
      <c r="C360" s="64" t="str">
        <f aca="false">IF(B360="","",TEXT(B360,"DDD"))</f>
        <v/>
      </c>
      <c r="D360" s="32"/>
      <c r="E360" s="32"/>
      <c r="F360" s="33"/>
      <c r="G360" s="65"/>
      <c r="H360" s="32"/>
      <c r="I360" s="66" t="n">
        <v>0</v>
      </c>
      <c r="J360" s="67"/>
      <c r="K360" s="68"/>
      <c r="L360" s="68"/>
      <c r="M360" s="68"/>
      <c r="N360" s="68"/>
      <c r="O360" s="68"/>
      <c r="P360" s="33"/>
      <c r="Q360" s="68"/>
      <c r="R360" s="68"/>
      <c r="S360" s="13"/>
    </row>
    <row r="361" customFormat="false" ht="27.75" hidden="false" customHeight="true" outlineLevel="0" collapsed="false">
      <c r="A361" s="5"/>
      <c r="B361" s="69"/>
      <c r="C361" s="64" t="str">
        <f aca="false">IF(B361="","",TEXT(B361,"DDD"))</f>
        <v/>
      </c>
      <c r="D361" s="36"/>
      <c r="E361" s="36"/>
      <c r="F361" s="4"/>
      <c r="G361" s="70"/>
      <c r="H361" s="36"/>
      <c r="I361" s="66" t="n">
        <v>0</v>
      </c>
      <c r="J361" s="71"/>
      <c r="K361" s="72"/>
      <c r="L361" s="72"/>
      <c r="M361" s="72"/>
      <c r="N361" s="72"/>
      <c r="O361" s="72"/>
      <c r="P361" s="4"/>
      <c r="Q361" s="72"/>
      <c r="R361" s="72"/>
      <c r="S361" s="5"/>
    </row>
    <row r="362" customFormat="false" ht="27.75" hidden="false" customHeight="true" outlineLevel="0" collapsed="false">
      <c r="A362" s="13"/>
      <c r="B362" s="63"/>
      <c r="C362" s="64" t="str">
        <f aca="false">IF(B362="","",TEXT(B362,"DDD"))</f>
        <v/>
      </c>
      <c r="D362" s="32"/>
      <c r="E362" s="32"/>
      <c r="F362" s="33"/>
      <c r="G362" s="65"/>
      <c r="H362" s="32"/>
      <c r="I362" s="66" t="n">
        <v>0</v>
      </c>
      <c r="J362" s="67"/>
      <c r="K362" s="68"/>
      <c r="L362" s="68"/>
      <c r="M362" s="68"/>
      <c r="N362" s="68"/>
      <c r="O362" s="68"/>
      <c r="P362" s="33"/>
      <c r="Q362" s="68"/>
      <c r="R362" s="68"/>
      <c r="S362" s="13"/>
    </row>
    <row r="363" customFormat="false" ht="27.75" hidden="false" customHeight="true" outlineLevel="0" collapsed="false">
      <c r="A363" s="5"/>
      <c r="B363" s="69"/>
      <c r="C363" s="64" t="str">
        <f aca="false">IF(B363="","",TEXT(B363,"DDD"))</f>
        <v/>
      </c>
      <c r="D363" s="36"/>
      <c r="E363" s="36"/>
      <c r="F363" s="4"/>
      <c r="G363" s="70"/>
      <c r="H363" s="36"/>
      <c r="I363" s="66" t="n">
        <v>0</v>
      </c>
      <c r="J363" s="71"/>
      <c r="K363" s="72"/>
      <c r="L363" s="72"/>
      <c r="M363" s="72"/>
      <c r="N363" s="72"/>
      <c r="O363" s="72"/>
      <c r="P363" s="4"/>
      <c r="Q363" s="72"/>
      <c r="R363" s="72"/>
      <c r="S363" s="5"/>
    </row>
    <row r="364" customFormat="false" ht="27.75" hidden="false" customHeight="true" outlineLevel="0" collapsed="false">
      <c r="A364" s="13"/>
      <c r="B364" s="63"/>
      <c r="C364" s="64" t="str">
        <f aca="false">IF(B364="","",TEXT(B364,"DDD"))</f>
        <v/>
      </c>
      <c r="D364" s="32"/>
      <c r="E364" s="32"/>
      <c r="F364" s="33"/>
      <c r="G364" s="65"/>
      <c r="H364" s="32"/>
      <c r="I364" s="66" t="n">
        <v>0</v>
      </c>
      <c r="J364" s="67"/>
      <c r="K364" s="68"/>
      <c r="L364" s="68"/>
      <c r="M364" s="68"/>
      <c r="N364" s="68"/>
      <c r="O364" s="68"/>
      <c r="P364" s="33"/>
      <c r="Q364" s="68"/>
      <c r="R364" s="68"/>
      <c r="S364" s="13"/>
    </row>
    <row r="365" customFormat="false" ht="27.75" hidden="false" customHeight="true" outlineLevel="0" collapsed="false">
      <c r="A365" s="5"/>
      <c r="B365" s="69"/>
      <c r="C365" s="64" t="str">
        <f aca="false">IF(B365="","",TEXT(B365,"DDD"))</f>
        <v/>
      </c>
      <c r="D365" s="36"/>
      <c r="E365" s="36"/>
      <c r="F365" s="4"/>
      <c r="G365" s="70"/>
      <c r="H365" s="36"/>
      <c r="I365" s="66" t="n">
        <v>0</v>
      </c>
      <c r="J365" s="71"/>
      <c r="K365" s="72"/>
      <c r="L365" s="72"/>
      <c r="M365" s="72"/>
      <c r="N365" s="72"/>
      <c r="O365" s="72"/>
      <c r="P365" s="4"/>
      <c r="Q365" s="72"/>
      <c r="R365" s="72"/>
      <c r="S365" s="5"/>
    </row>
    <row r="366" customFormat="false" ht="27.75" hidden="false" customHeight="true" outlineLevel="0" collapsed="false">
      <c r="A366" s="13"/>
      <c r="B366" s="63"/>
      <c r="C366" s="64" t="str">
        <f aca="false">IF(B366="","",TEXT(B366,"DDD"))</f>
        <v/>
      </c>
      <c r="D366" s="32"/>
      <c r="E366" s="32"/>
      <c r="F366" s="33"/>
      <c r="G366" s="65"/>
      <c r="H366" s="32"/>
      <c r="I366" s="66" t="n">
        <v>0</v>
      </c>
      <c r="J366" s="67"/>
      <c r="K366" s="68"/>
      <c r="L366" s="68"/>
      <c r="M366" s="68"/>
      <c r="N366" s="68"/>
      <c r="O366" s="68"/>
      <c r="P366" s="33"/>
      <c r="Q366" s="68"/>
      <c r="R366" s="68"/>
      <c r="S366" s="13"/>
    </row>
    <row r="367" customFormat="false" ht="27.75" hidden="false" customHeight="true" outlineLevel="0" collapsed="false">
      <c r="A367" s="5"/>
      <c r="B367" s="69"/>
      <c r="C367" s="64" t="str">
        <f aca="false">IF(B367="","",TEXT(B367,"DDD"))</f>
        <v/>
      </c>
      <c r="D367" s="36"/>
      <c r="E367" s="36"/>
      <c r="F367" s="4"/>
      <c r="G367" s="70"/>
      <c r="H367" s="36"/>
      <c r="I367" s="66" t="n">
        <v>0</v>
      </c>
      <c r="J367" s="71"/>
      <c r="K367" s="72"/>
      <c r="L367" s="72"/>
      <c r="M367" s="72"/>
      <c r="N367" s="72"/>
      <c r="O367" s="72"/>
      <c r="P367" s="4"/>
      <c r="Q367" s="72"/>
      <c r="R367" s="72"/>
      <c r="S367" s="5"/>
    </row>
    <row r="368" customFormat="false" ht="27.75" hidden="false" customHeight="true" outlineLevel="0" collapsed="false">
      <c r="A368" s="13"/>
      <c r="B368" s="63"/>
      <c r="C368" s="64" t="str">
        <f aca="false">IF(B368="","",TEXT(B368,"DDD"))</f>
        <v/>
      </c>
      <c r="D368" s="32"/>
      <c r="E368" s="32"/>
      <c r="F368" s="33"/>
      <c r="G368" s="65"/>
      <c r="H368" s="32"/>
      <c r="I368" s="66" t="n">
        <v>0</v>
      </c>
      <c r="J368" s="67"/>
      <c r="K368" s="68"/>
      <c r="L368" s="68"/>
      <c r="M368" s="68"/>
      <c r="N368" s="68"/>
      <c r="O368" s="68"/>
      <c r="P368" s="33"/>
      <c r="Q368" s="68"/>
      <c r="R368" s="68"/>
      <c r="S368" s="13"/>
    </row>
    <row r="369" customFormat="false" ht="27.75" hidden="false" customHeight="true" outlineLevel="0" collapsed="false">
      <c r="A369" s="5"/>
      <c r="B369" s="69"/>
      <c r="C369" s="64" t="str">
        <f aca="false">IF(B369="","",TEXT(B369,"DDD"))</f>
        <v/>
      </c>
      <c r="D369" s="36"/>
      <c r="E369" s="36"/>
      <c r="F369" s="4"/>
      <c r="G369" s="70"/>
      <c r="H369" s="36"/>
      <c r="I369" s="66" t="n">
        <v>0</v>
      </c>
      <c r="J369" s="71"/>
      <c r="K369" s="72"/>
      <c r="L369" s="72"/>
      <c r="M369" s="72"/>
      <c r="N369" s="72"/>
      <c r="O369" s="72"/>
      <c r="P369" s="4"/>
      <c r="Q369" s="72"/>
      <c r="R369" s="72"/>
      <c r="S369" s="5"/>
    </row>
    <row r="370" customFormat="false" ht="27.75" hidden="false" customHeight="true" outlineLevel="0" collapsed="false">
      <c r="A370" s="13"/>
      <c r="B370" s="63"/>
      <c r="C370" s="64" t="str">
        <f aca="false">IF(B370="","",TEXT(B370,"DDD"))</f>
        <v/>
      </c>
      <c r="D370" s="32"/>
      <c r="E370" s="32"/>
      <c r="F370" s="33"/>
      <c r="G370" s="65"/>
      <c r="H370" s="32"/>
      <c r="I370" s="66" t="n">
        <v>0</v>
      </c>
      <c r="J370" s="67"/>
      <c r="K370" s="68"/>
      <c r="L370" s="68"/>
      <c r="M370" s="68"/>
      <c r="N370" s="68"/>
      <c r="O370" s="68"/>
      <c r="P370" s="33"/>
      <c r="Q370" s="68"/>
      <c r="R370" s="68"/>
      <c r="S370" s="13"/>
    </row>
    <row r="371" customFormat="false" ht="27.75" hidden="false" customHeight="true" outlineLevel="0" collapsed="false">
      <c r="A371" s="5"/>
      <c r="B371" s="69"/>
      <c r="C371" s="64" t="str">
        <f aca="false">IF(B371="","",TEXT(B371,"DDD"))</f>
        <v/>
      </c>
      <c r="D371" s="36"/>
      <c r="E371" s="36"/>
      <c r="F371" s="4"/>
      <c r="G371" s="70"/>
      <c r="H371" s="36"/>
      <c r="I371" s="66" t="n">
        <v>0</v>
      </c>
      <c r="J371" s="71"/>
      <c r="K371" s="72"/>
      <c r="L371" s="72"/>
      <c r="M371" s="72"/>
      <c r="N371" s="72"/>
      <c r="O371" s="72"/>
      <c r="P371" s="4"/>
      <c r="Q371" s="72"/>
      <c r="R371" s="72"/>
      <c r="S371" s="5"/>
    </row>
    <row r="372" customFormat="false" ht="27.75" hidden="false" customHeight="true" outlineLevel="0" collapsed="false">
      <c r="A372" s="13"/>
      <c r="B372" s="63"/>
      <c r="C372" s="64" t="str">
        <f aca="false">IF(B372="","",TEXT(B372,"DDD"))</f>
        <v/>
      </c>
      <c r="D372" s="32"/>
      <c r="E372" s="32"/>
      <c r="F372" s="33"/>
      <c r="G372" s="65"/>
      <c r="H372" s="32"/>
      <c r="I372" s="66" t="n">
        <v>0</v>
      </c>
      <c r="J372" s="67"/>
      <c r="K372" s="68"/>
      <c r="L372" s="68"/>
      <c r="M372" s="68"/>
      <c r="N372" s="68"/>
      <c r="O372" s="68"/>
      <c r="P372" s="33"/>
      <c r="Q372" s="68"/>
      <c r="R372" s="68"/>
      <c r="S372" s="13"/>
    </row>
    <row r="373" customFormat="false" ht="27.75" hidden="false" customHeight="true" outlineLevel="0" collapsed="false">
      <c r="A373" s="5"/>
      <c r="B373" s="69"/>
      <c r="C373" s="64" t="str">
        <f aca="false">IF(B373="","",TEXT(B373,"DDD"))</f>
        <v/>
      </c>
      <c r="D373" s="36"/>
      <c r="E373" s="36"/>
      <c r="F373" s="4"/>
      <c r="G373" s="70"/>
      <c r="H373" s="36"/>
      <c r="I373" s="66" t="n">
        <v>0</v>
      </c>
      <c r="J373" s="71"/>
      <c r="K373" s="72"/>
      <c r="L373" s="72"/>
      <c r="M373" s="72"/>
      <c r="N373" s="72"/>
      <c r="O373" s="72"/>
      <c r="P373" s="4"/>
      <c r="Q373" s="72"/>
      <c r="R373" s="72"/>
      <c r="S373" s="5"/>
    </row>
    <row r="374" customFormat="false" ht="27.75" hidden="false" customHeight="true" outlineLevel="0" collapsed="false">
      <c r="A374" s="13"/>
      <c r="B374" s="63"/>
      <c r="C374" s="64" t="str">
        <f aca="false">IF(B374="","",TEXT(B374,"DDD"))</f>
        <v/>
      </c>
      <c r="D374" s="32"/>
      <c r="E374" s="32"/>
      <c r="F374" s="33"/>
      <c r="G374" s="65"/>
      <c r="H374" s="32"/>
      <c r="I374" s="66" t="n">
        <v>0</v>
      </c>
      <c r="J374" s="67"/>
      <c r="K374" s="68"/>
      <c r="L374" s="68"/>
      <c r="M374" s="68"/>
      <c r="N374" s="68"/>
      <c r="O374" s="68"/>
      <c r="P374" s="33"/>
      <c r="Q374" s="68"/>
      <c r="R374" s="68"/>
      <c r="S374" s="13"/>
    </row>
    <row r="375" customFormat="false" ht="27.75" hidden="false" customHeight="true" outlineLevel="0" collapsed="false">
      <c r="A375" s="5"/>
      <c r="B375" s="69"/>
      <c r="C375" s="64" t="str">
        <f aca="false">IF(B375="","",TEXT(B375,"DDD"))</f>
        <v/>
      </c>
      <c r="D375" s="36"/>
      <c r="E375" s="36"/>
      <c r="F375" s="4"/>
      <c r="G375" s="70"/>
      <c r="H375" s="36"/>
      <c r="I375" s="66" t="n">
        <v>0</v>
      </c>
      <c r="J375" s="71"/>
      <c r="K375" s="72"/>
      <c r="L375" s="72"/>
      <c r="M375" s="72"/>
      <c r="N375" s="72"/>
      <c r="O375" s="72"/>
      <c r="P375" s="4"/>
      <c r="Q375" s="72"/>
      <c r="R375" s="72"/>
      <c r="S375" s="5"/>
    </row>
    <row r="376" customFormat="false" ht="27.75" hidden="false" customHeight="true" outlineLevel="0" collapsed="false">
      <c r="A376" s="13"/>
      <c r="B376" s="63"/>
      <c r="C376" s="64" t="str">
        <f aca="false">IF(B376="","",TEXT(B376,"DDD"))</f>
        <v/>
      </c>
      <c r="D376" s="32"/>
      <c r="E376" s="32"/>
      <c r="F376" s="33"/>
      <c r="G376" s="65"/>
      <c r="H376" s="32"/>
      <c r="I376" s="66" t="n">
        <v>0</v>
      </c>
      <c r="J376" s="67"/>
      <c r="K376" s="68"/>
      <c r="L376" s="68"/>
      <c r="M376" s="68"/>
      <c r="N376" s="68"/>
      <c r="O376" s="68"/>
      <c r="P376" s="33"/>
      <c r="Q376" s="68"/>
      <c r="R376" s="68"/>
      <c r="S376" s="13"/>
    </row>
    <row r="377" customFormat="false" ht="27.75" hidden="false" customHeight="true" outlineLevel="0" collapsed="false">
      <c r="A377" s="5"/>
      <c r="B377" s="69"/>
      <c r="C377" s="64" t="str">
        <f aca="false">IF(B377="","",TEXT(B377,"DDD"))</f>
        <v/>
      </c>
      <c r="D377" s="36"/>
      <c r="E377" s="36"/>
      <c r="F377" s="4"/>
      <c r="G377" s="70"/>
      <c r="H377" s="36"/>
      <c r="I377" s="66" t="n">
        <v>0</v>
      </c>
      <c r="J377" s="71"/>
      <c r="K377" s="72"/>
      <c r="L377" s="72"/>
      <c r="M377" s="72"/>
      <c r="N377" s="72"/>
      <c r="O377" s="72"/>
      <c r="P377" s="4"/>
      <c r="Q377" s="72"/>
      <c r="R377" s="72"/>
      <c r="S377" s="5"/>
    </row>
    <row r="378" customFormat="false" ht="27.75" hidden="false" customHeight="true" outlineLevel="0" collapsed="false">
      <c r="A378" s="13"/>
      <c r="B378" s="63"/>
      <c r="C378" s="64" t="str">
        <f aca="false">IF(B378="","",TEXT(B378,"DDD"))</f>
        <v/>
      </c>
      <c r="D378" s="32"/>
      <c r="E378" s="32"/>
      <c r="F378" s="33"/>
      <c r="G378" s="65"/>
      <c r="H378" s="32"/>
      <c r="I378" s="66" t="n">
        <v>0</v>
      </c>
      <c r="J378" s="67"/>
      <c r="K378" s="68"/>
      <c r="L378" s="68"/>
      <c r="M378" s="68"/>
      <c r="N378" s="68"/>
      <c r="O378" s="68"/>
      <c r="P378" s="33"/>
      <c r="Q378" s="68"/>
      <c r="R378" s="68"/>
      <c r="S378" s="13"/>
    </row>
    <row r="379" customFormat="false" ht="27.75" hidden="false" customHeight="true" outlineLevel="0" collapsed="false">
      <c r="A379" s="5"/>
      <c r="B379" s="69"/>
      <c r="C379" s="64" t="str">
        <f aca="false">IF(B379="","",TEXT(B379,"DDD"))</f>
        <v/>
      </c>
      <c r="D379" s="36"/>
      <c r="E379" s="36"/>
      <c r="F379" s="4"/>
      <c r="G379" s="70"/>
      <c r="H379" s="36"/>
      <c r="I379" s="66" t="n">
        <v>0</v>
      </c>
      <c r="J379" s="71"/>
      <c r="K379" s="72"/>
      <c r="L379" s="72"/>
      <c r="M379" s="72"/>
      <c r="N379" s="72"/>
      <c r="O379" s="72"/>
      <c r="P379" s="4"/>
      <c r="Q379" s="72"/>
      <c r="R379" s="72"/>
      <c r="S379" s="5"/>
    </row>
    <row r="380" customFormat="false" ht="27.75" hidden="false" customHeight="true" outlineLevel="0" collapsed="false">
      <c r="A380" s="13"/>
      <c r="B380" s="63"/>
      <c r="C380" s="64" t="str">
        <f aca="false">IF(B380="","",TEXT(B380,"DDD"))</f>
        <v/>
      </c>
      <c r="D380" s="32"/>
      <c r="E380" s="32"/>
      <c r="F380" s="33"/>
      <c r="G380" s="65"/>
      <c r="H380" s="32"/>
      <c r="I380" s="66" t="n">
        <v>0</v>
      </c>
      <c r="J380" s="67"/>
      <c r="K380" s="68"/>
      <c r="L380" s="68"/>
      <c r="M380" s="68"/>
      <c r="N380" s="68"/>
      <c r="O380" s="68"/>
      <c r="P380" s="33"/>
      <c r="Q380" s="68"/>
      <c r="R380" s="68"/>
      <c r="S380" s="13"/>
    </row>
    <row r="381" customFormat="false" ht="27.75" hidden="false" customHeight="true" outlineLevel="0" collapsed="false">
      <c r="A381" s="5"/>
      <c r="B381" s="69"/>
      <c r="C381" s="64" t="str">
        <f aca="false">IF(B381="","",TEXT(B381,"DDD"))</f>
        <v/>
      </c>
      <c r="D381" s="36"/>
      <c r="E381" s="36"/>
      <c r="F381" s="4"/>
      <c r="G381" s="70"/>
      <c r="H381" s="36"/>
      <c r="I381" s="66" t="n">
        <v>0</v>
      </c>
      <c r="J381" s="71"/>
      <c r="K381" s="72"/>
      <c r="L381" s="72"/>
      <c r="M381" s="72"/>
      <c r="N381" s="72"/>
      <c r="O381" s="72"/>
      <c r="P381" s="4"/>
      <c r="Q381" s="72"/>
      <c r="R381" s="72"/>
      <c r="S381" s="5"/>
    </row>
    <row r="382" customFormat="false" ht="27.75" hidden="false" customHeight="true" outlineLevel="0" collapsed="false">
      <c r="A382" s="13"/>
      <c r="B382" s="63"/>
      <c r="C382" s="64" t="str">
        <f aca="false">IF(B382="","",TEXT(B382,"DDD"))</f>
        <v/>
      </c>
      <c r="D382" s="32"/>
      <c r="E382" s="32"/>
      <c r="F382" s="33"/>
      <c r="G382" s="65"/>
      <c r="H382" s="32"/>
      <c r="I382" s="66" t="n">
        <v>0</v>
      </c>
      <c r="J382" s="67"/>
      <c r="K382" s="68"/>
      <c r="L382" s="68"/>
      <c r="M382" s="68"/>
      <c r="N382" s="68"/>
      <c r="O382" s="68"/>
      <c r="P382" s="33"/>
      <c r="Q382" s="68"/>
      <c r="R382" s="68"/>
      <c r="S382" s="13"/>
    </row>
    <row r="383" customFormat="false" ht="27.75" hidden="false" customHeight="true" outlineLevel="0" collapsed="false">
      <c r="A383" s="5"/>
      <c r="B383" s="69"/>
      <c r="C383" s="64" t="str">
        <f aca="false">IF(B383="","",TEXT(B383,"DDD"))</f>
        <v/>
      </c>
      <c r="D383" s="36"/>
      <c r="E383" s="36"/>
      <c r="F383" s="4"/>
      <c r="G383" s="70"/>
      <c r="H383" s="36"/>
      <c r="I383" s="66" t="n">
        <v>0</v>
      </c>
      <c r="J383" s="71"/>
      <c r="K383" s="72"/>
      <c r="L383" s="72"/>
      <c r="M383" s="72"/>
      <c r="N383" s="72"/>
      <c r="O383" s="72"/>
      <c r="P383" s="4"/>
      <c r="Q383" s="72"/>
      <c r="R383" s="72"/>
      <c r="S383" s="5"/>
    </row>
    <row r="384" customFormat="false" ht="27.75" hidden="false" customHeight="true" outlineLevel="0" collapsed="false">
      <c r="A384" s="13"/>
      <c r="B384" s="63"/>
      <c r="C384" s="64" t="str">
        <f aca="false">IF(B384="","",TEXT(B384,"DDD"))</f>
        <v/>
      </c>
      <c r="D384" s="32"/>
      <c r="E384" s="32"/>
      <c r="F384" s="33"/>
      <c r="G384" s="65"/>
      <c r="H384" s="32"/>
      <c r="I384" s="66" t="n">
        <v>0</v>
      </c>
      <c r="J384" s="67"/>
      <c r="K384" s="68"/>
      <c r="L384" s="68"/>
      <c r="M384" s="68"/>
      <c r="N384" s="68"/>
      <c r="O384" s="68"/>
      <c r="P384" s="33"/>
      <c r="Q384" s="68"/>
      <c r="R384" s="68"/>
      <c r="S384" s="13"/>
    </row>
    <row r="385" customFormat="false" ht="27.75" hidden="false" customHeight="true" outlineLevel="0" collapsed="false">
      <c r="A385" s="5"/>
      <c r="B385" s="69"/>
      <c r="C385" s="64" t="str">
        <f aca="false">IF(B385="","",TEXT(B385,"DDD"))</f>
        <v/>
      </c>
      <c r="D385" s="36"/>
      <c r="E385" s="36"/>
      <c r="F385" s="4"/>
      <c r="G385" s="70"/>
      <c r="H385" s="36"/>
      <c r="I385" s="66" t="n">
        <v>0</v>
      </c>
      <c r="J385" s="71"/>
      <c r="K385" s="72"/>
      <c r="L385" s="72"/>
      <c r="M385" s="72"/>
      <c r="N385" s="72"/>
      <c r="O385" s="72"/>
      <c r="P385" s="4"/>
      <c r="Q385" s="72"/>
      <c r="R385" s="72"/>
      <c r="S385" s="5"/>
    </row>
    <row r="386" customFormat="false" ht="27.75" hidden="false" customHeight="true" outlineLevel="0" collapsed="false">
      <c r="A386" s="13"/>
      <c r="B386" s="63"/>
      <c r="C386" s="64" t="str">
        <f aca="false">IF(B386="","",TEXT(B386,"DDD"))</f>
        <v/>
      </c>
      <c r="D386" s="32"/>
      <c r="E386" s="32"/>
      <c r="F386" s="33"/>
      <c r="G386" s="65"/>
      <c r="H386" s="32"/>
      <c r="I386" s="66" t="n">
        <v>0</v>
      </c>
      <c r="J386" s="67"/>
      <c r="K386" s="68"/>
      <c r="L386" s="68"/>
      <c r="M386" s="68"/>
      <c r="N386" s="68"/>
      <c r="O386" s="68"/>
      <c r="P386" s="33"/>
      <c r="Q386" s="68"/>
      <c r="R386" s="68"/>
      <c r="S386" s="13"/>
    </row>
    <row r="387" customFormat="false" ht="27.75" hidden="false" customHeight="true" outlineLevel="0" collapsed="false">
      <c r="A387" s="5"/>
      <c r="B387" s="69"/>
      <c r="C387" s="64" t="str">
        <f aca="false">IF(B387="","",TEXT(B387,"DDD"))</f>
        <v/>
      </c>
      <c r="D387" s="36"/>
      <c r="E387" s="36"/>
      <c r="F387" s="4"/>
      <c r="G387" s="70"/>
      <c r="H387" s="36"/>
      <c r="I387" s="66" t="n">
        <v>0</v>
      </c>
      <c r="J387" s="71"/>
      <c r="K387" s="72"/>
      <c r="L387" s="72"/>
      <c r="M387" s="72"/>
      <c r="N387" s="72"/>
      <c r="O387" s="72"/>
      <c r="P387" s="4"/>
      <c r="Q387" s="72"/>
      <c r="R387" s="72"/>
      <c r="S387" s="5"/>
    </row>
    <row r="388" customFormat="false" ht="27.75" hidden="false" customHeight="true" outlineLevel="0" collapsed="false">
      <c r="A388" s="13"/>
      <c r="B388" s="63"/>
      <c r="C388" s="64" t="str">
        <f aca="false">IF(B388="","",TEXT(B388,"DDD"))</f>
        <v/>
      </c>
      <c r="D388" s="32"/>
      <c r="E388" s="32"/>
      <c r="F388" s="33"/>
      <c r="G388" s="65"/>
      <c r="H388" s="32"/>
      <c r="I388" s="66" t="n">
        <v>0</v>
      </c>
      <c r="J388" s="67"/>
      <c r="K388" s="68"/>
      <c r="L388" s="68"/>
      <c r="M388" s="68"/>
      <c r="N388" s="68"/>
      <c r="O388" s="68"/>
      <c r="P388" s="33"/>
      <c r="Q388" s="68"/>
      <c r="R388" s="68"/>
      <c r="S388" s="13"/>
    </row>
    <row r="389" customFormat="false" ht="27.75" hidden="false" customHeight="true" outlineLevel="0" collapsed="false">
      <c r="A389" s="5"/>
      <c r="B389" s="69"/>
      <c r="C389" s="64" t="str">
        <f aca="false">IF(B389="","",TEXT(B389,"DDD"))</f>
        <v/>
      </c>
      <c r="D389" s="36"/>
      <c r="E389" s="36"/>
      <c r="F389" s="4"/>
      <c r="G389" s="70"/>
      <c r="H389" s="36"/>
      <c r="I389" s="66" t="n">
        <v>0</v>
      </c>
      <c r="J389" s="71"/>
      <c r="K389" s="72"/>
      <c r="L389" s="72"/>
      <c r="M389" s="72"/>
      <c r="N389" s="72"/>
      <c r="O389" s="72"/>
      <c r="P389" s="4"/>
      <c r="Q389" s="72"/>
      <c r="R389" s="72"/>
      <c r="S389" s="5"/>
    </row>
    <row r="390" customFormat="false" ht="27.75" hidden="false" customHeight="true" outlineLevel="0" collapsed="false">
      <c r="A390" s="13"/>
      <c r="B390" s="63"/>
      <c r="C390" s="64" t="str">
        <f aca="false">IF(B390="","",TEXT(B390,"DDD"))</f>
        <v/>
      </c>
      <c r="D390" s="32"/>
      <c r="E390" s="32"/>
      <c r="F390" s="33"/>
      <c r="G390" s="65"/>
      <c r="H390" s="32"/>
      <c r="I390" s="66" t="n">
        <v>0</v>
      </c>
      <c r="J390" s="67"/>
      <c r="K390" s="68"/>
      <c r="L390" s="68"/>
      <c r="M390" s="68"/>
      <c r="N390" s="68"/>
      <c r="O390" s="68"/>
      <c r="P390" s="33"/>
      <c r="Q390" s="68"/>
      <c r="R390" s="68"/>
      <c r="S390" s="13"/>
    </row>
    <row r="391" customFormat="false" ht="27.75" hidden="false" customHeight="true" outlineLevel="0" collapsed="false">
      <c r="A391" s="5"/>
      <c r="B391" s="69"/>
      <c r="C391" s="64" t="str">
        <f aca="false">IF(B391="","",TEXT(B391,"DDD"))</f>
        <v/>
      </c>
      <c r="D391" s="36"/>
      <c r="E391" s="36"/>
      <c r="F391" s="4"/>
      <c r="G391" s="70"/>
      <c r="H391" s="36"/>
      <c r="I391" s="66" t="n">
        <v>0</v>
      </c>
      <c r="J391" s="71"/>
      <c r="K391" s="72"/>
      <c r="L391" s="72"/>
      <c r="M391" s="72"/>
      <c r="N391" s="72"/>
      <c r="O391" s="72"/>
      <c r="P391" s="4"/>
      <c r="Q391" s="72"/>
      <c r="R391" s="72"/>
      <c r="S391" s="5"/>
    </row>
    <row r="392" customFormat="false" ht="27.75" hidden="false" customHeight="true" outlineLevel="0" collapsed="false">
      <c r="A392" s="13"/>
      <c r="B392" s="63"/>
      <c r="C392" s="64" t="str">
        <f aca="false">IF(B392="","",TEXT(B392,"DDD"))</f>
        <v/>
      </c>
      <c r="D392" s="32"/>
      <c r="E392" s="32"/>
      <c r="F392" s="33"/>
      <c r="G392" s="65"/>
      <c r="H392" s="32"/>
      <c r="I392" s="66" t="n">
        <v>0</v>
      </c>
      <c r="J392" s="67"/>
      <c r="K392" s="68"/>
      <c r="L392" s="68"/>
      <c r="M392" s="68"/>
      <c r="N392" s="68"/>
      <c r="O392" s="68"/>
      <c r="P392" s="33"/>
      <c r="Q392" s="68"/>
      <c r="R392" s="68"/>
      <c r="S392" s="13"/>
    </row>
    <row r="393" customFormat="false" ht="27.75" hidden="false" customHeight="true" outlineLevel="0" collapsed="false">
      <c r="A393" s="5"/>
      <c r="B393" s="69"/>
      <c r="C393" s="64" t="str">
        <f aca="false">IF(B393="","",TEXT(B393,"DDD"))</f>
        <v/>
      </c>
      <c r="D393" s="36"/>
      <c r="E393" s="36"/>
      <c r="F393" s="4"/>
      <c r="G393" s="70"/>
      <c r="H393" s="36"/>
      <c r="I393" s="66" t="n">
        <v>0</v>
      </c>
      <c r="J393" s="71"/>
      <c r="K393" s="72"/>
      <c r="L393" s="72"/>
      <c r="M393" s="72"/>
      <c r="N393" s="72"/>
      <c r="O393" s="72"/>
      <c r="P393" s="4"/>
      <c r="Q393" s="72"/>
      <c r="R393" s="72"/>
      <c r="S393" s="5"/>
    </row>
    <row r="394" customFormat="false" ht="27.75" hidden="false" customHeight="true" outlineLevel="0" collapsed="false">
      <c r="A394" s="13"/>
      <c r="B394" s="63"/>
      <c r="C394" s="64" t="str">
        <f aca="false">IF(B394="","",TEXT(B394,"DDD"))</f>
        <v/>
      </c>
      <c r="D394" s="32"/>
      <c r="E394" s="32"/>
      <c r="F394" s="33"/>
      <c r="G394" s="65"/>
      <c r="H394" s="32"/>
      <c r="I394" s="66" t="n">
        <v>0</v>
      </c>
      <c r="J394" s="67"/>
      <c r="K394" s="68"/>
      <c r="L394" s="68"/>
      <c r="M394" s="68"/>
      <c r="N394" s="68"/>
      <c r="O394" s="68"/>
      <c r="P394" s="33"/>
      <c r="Q394" s="68"/>
      <c r="R394" s="68"/>
      <c r="S394" s="13"/>
    </row>
    <row r="395" customFormat="false" ht="27.75" hidden="false" customHeight="true" outlineLevel="0" collapsed="false">
      <c r="A395" s="5"/>
      <c r="B395" s="69"/>
      <c r="C395" s="64" t="str">
        <f aca="false">IF(B395="","",TEXT(B395,"DDD"))</f>
        <v/>
      </c>
      <c r="D395" s="36"/>
      <c r="E395" s="36"/>
      <c r="F395" s="4"/>
      <c r="G395" s="70"/>
      <c r="H395" s="36"/>
      <c r="I395" s="66" t="n">
        <v>0</v>
      </c>
      <c r="J395" s="71"/>
      <c r="K395" s="72"/>
      <c r="L395" s="72"/>
      <c r="M395" s="72"/>
      <c r="N395" s="72"/>
      <c r="O395" s="72"/>
      <c r="P395" s="4"/>
      <c r="Q395" s="72"/>
      <c r="R395" s="72"/>
      <c r="S395" s="5"/>
    </row>
    <row r="396" customFormat="false" ht="27.75" hidden="false" customHeight="true" outlineLevel="0" collapsed="false">
      <c r="A396" s="13"/>
      <c r="B396" s="63"/>
      <c r="C396" s="64" t="str">
        <f aca="false">IF(B396="","",TEXT(B396,"DDD"))</f>
        <v/>
      </c>
      <c r="D396" s="32"/>
      <c r="E396" s="32"/>
      <c r="F396" s="33"/>
      <c r="G396" s="65"/>
      <c r="H396" s="32"/>
      <c r="I396" s="66" t="n">
        <v>0</v>
      </c>
      <c r="J396" s="67"/>
      <c r="K396" s="68"/>
      <c r="L396" s="68"/>
      <c r="M396" s="68"/>
      <c r="N396" s="68"/>
      <c r="O396" s="68"/>
      <c r="P396" s="33"/>
      <c r="Q396" s="68"/>
      <c r="R396" s="68"/>
      <c r="S396" s="13"/>
    </row>
    <row r="397" customFormat="false" ht="27.75" hidden="false" customHeight="true" outlineLevel="0" collapsed="false">
      <c r="A397" s="5"/>
      <c r="B397" s="69"/>
      <c r="C397" s="64" t="str">
        <f aca="false">IF(B397="","",TEXT(B397,"DDD"))</f>
        <v/>
      </c>
      <c r="D397" s="36"/>
      <c r="E397" s="36"/>
      <c r="F397" s="4"/>
      <c r="G397" s="70"/>
      <c r="H397" s="36"/>
      <c r="I397" s="66" t="n">
        <v>0</v>
      </c>
      <c r="J397" s="71"/>
      <c r="K397" s="72"/>
      <c r="L397" s="72"/>
      <c r="M397" s="72"/>
      <c r="N397" s="72"/>
      <c r="O397" s="72"/>
      <c r="P397" s="4"/>
      <c r="Q397" s="72"/>
      <c r="R397" s="72"/>
      <c r="S397" s="5"/>
    </row>
    <row r="398" customFormat="false" ht="27.75" hidden="false" customHeight="true" outlineLevel="0" collapsed="false">
      <c r="A398" s="13"/>
      <c r="B398" s="63"/>
      <c r="C398" s="64" t="str">
        <f aca="false">IF(B398="","",TEXT(B398,"DDD"))</f>
        <v/>
      </c>
      <c r="D398" s="32"/>
      <c r="E398" s="32"/>
      <c r="F398" s="33"/>
      <c r="G398" s="65"/>
      <c r="H398" s="32"/>
      <c r="I398" s="66" t="n">
        <v>0</v>
      </c>
      <c r="J398" s="67"/>
      <c r="K398" s="68"/>
      <c r="L398" s="68"/>
      <c r="M398" s="68"/>
      <c r="N398" s="68"/>
      <c r="O398" s="68"/>
      <c r="P398" s="33"/>
      <c r="Q398" s="68"/>
      <c r="R398" s="68"/>
      <c r="S398" s="13"/>
    </row>
    <row r="399" customFormat="false" ht="27.75" hidden="false" customHeight="true" outlineLevel="0" collapsed="false">
      <c r="A399" s="5"/>
      <c r="B399" s="69"/>
      <c r="C399" s="64" t="str">
        <f aca="false">IF(B399="","",TEXT(B399,"DDD"))</f>
        <v/>
      </c>
      <c r="D399" s="36"/>
      <c r="E399" s="36"/>
      <c r="F399" s="4"/>
      <c r="G399" s="70"/>
      <c r="H399" s="36"/>
      <c r="I399" s="66" t="n">
        <v>0</v>
      </c>
      <c r="J399" s="71"/>
      <c r="K399" s="72"/>
      <c r="L399" s="72"/>
      <c r="M399" s="72"/>
      <c r="N399" s="72"/>
      <c r="O399" s="72"/>
      <c r="P399" s="4"/>
      <c r="Q399" s="72"/>
      <c r="R399" s="72"/>
      <c r="S399" s="5"/>
    </row>
    <row r="400" customFormat="false" ht="27.75" hidden="false" customHeight="true" outlineLevel="0" collapsed="false">
      <c r="A400" s="13"/>
      <c r="B400" s="63"/>
      <c r="C400" s="64" t="str">
        <f aca="false">IF(B400="","",TEXT(B400,"DDD"))</f>
        <v/>
      </c>
      <c r="D400" s="32"/>
      <c r="E400" s="32"/>
      <c r="F400" s="33"/>
      <c r="G400" s="65"/>
      <c r="H400" s="32"/>
      <c r="I400" s="66" t="n">
        <v>0</v>
      </c>
      <c r="J400" s="67"/>
      <c r="K400" s="68"/>
      <c r="L400" s="68"/>
      <c r="M400" s="68"/>
      <c r="N400" s="68"/>
      <c r="O400" s="68"/>
      <c r="P400" s="33"/>
      <c r="Q400" s="68"/>
      <c r="R400" s="68"/>
      <c r="S400" s="13"/>
    </row>
    <row r="401" customFormat="false" ht="27.75" hidden="false" customHeight="true" outlineLevel="0" collapsed="false">
      <c r="A401" s="5"/>
      <c r="B401" s="69"/>
      <c r="C401" s="64" t="str">
        <f aca="false">IF(B401="","",TEXT(B401,"DDD"))</f>
        <v/>
      </c>
      <c r="D401" s="36"/>
      <c r="E401" s="36"/>
      <c r="F401" s="4"/>
      <c r="G401" s="70"/>
      <c r="H401" s="36"/>
      <c r="I401" s="66" t="n">
        <v>0</v>
      </c>
      <c r="J401" s="71"/>
      <c r="K401" s="72"/>
      <c r="L401" s="72"/>
      <c r="M401" s="72"/>
      <c r="N401" s="72"/>
      <c r="O401" s="72"/>
      <c r="P401" s="4"/>
      <c r="Q401" s="72"/>
      <c r="R401" s="72"/>
      <c r="S401" s="5"/>
    </row>
    <row r="402" customFormat="false" ht="27.75" hidden="false" customHeight="true" outlineLevel="0" collapsed="false">
      <c r="A402" s="13"/>
      <c r="B402" s="63"/>
      <c r="C402" s="64" t="str">
        <f aca="false">IF(B402="","",TEXT(B402,"DDD"))</f>
        <v/>
      </c>
      <c r="D402" s="32"/>
      <c r="E402" s="32"/>
      <c r="F402" s="33"/>
      <c r="G402" s="65"/>
      <c r="H402" s="32"/>
      <c r="I402" s="66" t="n">
        <v>0</v>
      </c>
      <c r="J402" s="67"/>
      <c r="K402" s="68"/>
      <c r="L402" s="68"/>
      <c r="M402" s="68"/>
      <c r="N402" s="68"/>
      <c r="O402" s="68"/>
      <c r="P402" s="33"/>
      <c r="Q402" s="68"/>
      <c r="R402" s="68"/>
      <c r="S402" s="13"/>
    </row>
    <row r="403" customFormat="false" ht="27.75" hidden="false" customHeight="true" outlineLevel="0" collapsed="false">
      <c r="A403" s="5"/>
      <c r="B403" s="69"/>
      <c r="C403" s="64" t="str">
        <f aca="false">IF(B403="","",TEXT(B403,"DDD"))</f>
        <v/>
      </c>
      <c r="D403" s="36"/>
      <c r="E403" s="36"/>
      <c r="F403" s="4"/>
      <c r="G403" s="70"/>
      <c r="H403" s="36"/>
      <c r="I403" s="66" t="n">
        <v>0</v>
      </c>
      <c r="J403" s="71"/>
      <c r="K403" s="72"/>
      <c r="L403" s="72"/>
      <c r="M403" s="72"/>
      <c r="N403" s="72"/>
      <c r="O403" s="72"/>
      <c r="P403" s="4"/>
      <c r="Q403" s="72"/>
      <c r="R403" s="72"/>
      <c r="S403" s="5"/>
    </row>
    <row r="404" customFormat="false" ht="27.75" hidden="false" customHeight="true" outlineLevel="0" collapsed="false">
      <c r="A404" s="13"/>
      <c r="B404" s="63"/>
      <c r="C404" s="64" t="str">
        <f aca="false">IF(B404="","",TEXT(B404,"DDD"))</f>
        <v/>
      </c>
      <c r="D404" s="32"/>
      <c r="E404" s="32"/>
      <c r="F404" s="33"/>
      <c r="G404" s="65"/>
      <c r="H404" s="32"/>
      <c r="I404" s="66" t="n">
        <v>0</v>
      </c>
      <c r="J404" s="67"/>
      <c r="K404" s="68"/>
      <c r="L404" s="68"/>
      <c r="M404" s="68"/>
      <c r="N404" s="68"/>
      <c r="O404" s="68"/>
      <c r="P404" s="33"/>
      <c r="Q404" s="68"/>
      <c r="R404" s="68"/>
      <c r="S404" s="13"/>
    </row>
    <row r="405" customFormat="false" ht="27.75" hidden="false" customHeight="true" outlineLevel="0" collapsed="false">
      <c r="A405" s="5"/>
      <c r="B405" s="69"/>
      <c r="C405" s="64" t="str">
        <f aca="false">IF(B405="","",TEXT(B405,"DDD"))</f>
        <v/>
      </c>
      <c r="D405" s="36"/>
      <c r="E405" s="36"/>
      <c r="F405" s="4"/>
      <c r="G405" s="70"/>
      <c r="H405" s="36"/>
      <c r="I405" s="66" t="n">
        <v>0</v>
      </c>
      <c r="J405" s="71"/>
      <c r="K405" s="72"/>
      <c r="L405" s="72"/>
      <c r="M405" s="72"/>
      <c r="N405" s="72"/>
      <c r="O405" s="72"/>
      <c r="P405" s="4"/>
      <c r="Q405" s="72"/>
      <c r="R405" s="72"/>
      <c r="S405" s="5"/>
    </row>
    <row r="406" customFormat="false" ht="27.75" hidden="false" customHeight="true" outlineLevel="0" collapsed="false">
      <c r="A406" s="13"/>
      <c r="B406" s="63"/>
      <c r="C406" s="64" t="str">
        <f aca="false">IF(B406="","",TEXT(B406,"DDD"))</f>
        <v/>
      </c>
      <c r="D406" s="32"/>
      <c r="E406" s="32"/>
      <c r="F406" s="33"/>
      <c r="G406" s="65"/>
      <c r="H406" s="32"/>
      <c r="I406" s="66" t="n">
        <v>0</v>
      </c>
      <c r="J406" s="67"/>
      <c r="K406" s="68"/>
      <c r="L406" s="68"/>
      <c r="M406" s="68"/>
      <c r="N406" s="68"/>
      <c r="O406" s="68"/>
      <c r="P406" s="33"/>
      <c r="Q406" s="68"/>
      <c r="R406" s="68"/>
      <c r="S406" s="13"/>
    </row>
    <row r="407" customFormat="false" ht="27.75" hidden="false" customHeight="true" outlineLevel="0" collapsed="false">
      <c r="A407" s="5"/>
      <c r="B407" s="69"/>
      <c r="C407" s="64" t="str">
        <f aca="false">IF(B407="","",TEXT(B407,"DDD"))</f>
        <v/>
      </c>
      <c r="D407" s="36"/>
      <c r="E407" s="36"/>
      <c r="F407" s="4"/>
      <c r="G407" s="70"/>
      <c r="H407" s="36"/>
      <c r="I407" s="66" t="n">
        <v>0</v>
      </c>
      <c r="J407" s="71"/>
      <c r="K407" s="72"/>
      <c r="L407" s="72"/>
      <c r="M407" s="72"/>
      <c r="N407" s="72"/>
      <c r="O407" s="72"/>
      <c r="P407" s="4"/>
      <c r="Q407" s="72"/>
      <c r="R407" s="72"/>
      <c r="S407" s="5"/>
    </row>
    <row r="408" customFormat="false" ht="27.75" hidden="false" customHeight="true" outlineLevel="0" collapsed="false">
      <c r="A408" s="13"/>
      <c r="B408" s="63"/>
      <c r="C408" s="64" t="str">
        <f aca="false">IF(B408="","",TEXT(B408,"DDD"))</f>
        <v/>
      </c>
      <c r="D408" s="32"/>
      <c r="E408" s="32"/>
      <c r="F408" s="33"/>
      <c r="G408" s="65"/>
      <c r="H408" s="32"/>
      <c r="I408" s="66" t="n">
        <v>0</v>
      </c>
      <c r="J408" s="67"/>
      <c r="K408" s="68"/>
      <c r="L408" s="68"/>
      <c r="M408" s="68"/>
      <c r="N408" s="68"/>
      <c r="O408" s="68"/>
      <c r="P408" s="33"/>
      <c r="Q408" s="68"/>
      <c r="R408" s="68"/>
      <c r="S408" s="13"/>
    </row>
    <row r="409" customFormat="false" ht="27.75" hidden="false" customHeight="true" outlineLevel="0" collapsed="false">
      <c r="A409" s="5"/>
      <c r="B409" s="69"/>
      <c r="C409" s="64" t="str">
        <f aca="false">IF(B409="","",TEXT(B409,"DDD"))</f>
        <v/>
      </c>
      <c r="D409" s="36"/>
      <c r="E409" s="36"/>
      <c r="F409" s="4"/>
      <c r="G409" s="70"/>
      <c r="H409" s="36"/>
      <c r="I409" s="66" t="n">
        <v>0</v>
      </c>
      <c r="J409" s="71"/>
      <c r="K409" s="72"/>
      <c r="L409" s="72"/>
      <c r="M409" s="72"/>
      <c r="N409" s="72"/>
      <c r="O409" s="72"/>
      <c r="P409" s="4"/>
      <c r="Q409" s="72"/>
      <c r="R409" s="72"/>
      <c r="S409" s="5"/>
    </row>
    <row r="410" customFormat="false" ht="27.75" hidden="false" customHeight="true" outlineLevel="0" collapsed="false">
      <c r="A410" s="13"/>
      <c r="B410" s="63"/>
      <c r="C410" s="64" t="str">
        <f aca="false">IF(B410="","",TEXT(B410,"DDD"))</f>
        <v/>
      </c>
      <c r="D410" s="32"/>
      <c r="E410" s="32"/>
      <c r="F410" s="33"/>
      <c r="G410" s="65"/>
      <c r="H410" s="32"/>
      <c r="I410" s="66" t="n">
        <v>0</v>
      </c>
      <c r="J410" s="67"/>
      <c r="K410" s="68"/>
      <c r="L410" s="68"/>
      <c r="M410" s="68"/>
      <c r="N410" s="68"/>
      <c r="O410" s="68"/>
      <c r="P410" s="33"/>
      <c r="Q410" s="68"/>
      <c r="R410" s="68"/>
      <c r="S410" s="13"/>
    </row>
    <row r="411" customFormat="false" ht="27.75" hidden="false" customHeight="true" outlineLevel="0" collapsed="false">
      <c r="A411" s="5"/>
      <c r="B411" s="69"/>
      <c r="C411" s="64" t="str">
        <f aca="false">IF(B411="","",TEXT(B411,"DDD"))</f>
        <v/>
      </c>
      <c r="D411" s="36"/>
      <c r="E411" s="36"/>
      <c r="F411" s="4"/>
      <c r="G411" s="70"/>
      <c r="H411" s="36"/>
      <c r="I411" s="66" t="n">
        <v>0</v>
      </c>
      <c r="J411" s="71"/>
      <c r="K411" s="72"/>
      <c r="L411" s="72"/>
      <c r="M411" s="72"/>
      <c r="N411" s="72"/>
      <c r="O411" s="72"/>
      <c r="P411" s="4"/>
      <c r="Q411" s="72"/>
      <c r="R411" s="72"/>
      <c r="S411" s="5"/>
    </row>
    <row r="412" customFormat="false" ht="27.75" hidden="false" customHeight="true" outlineLevel="0" collapsed="false">
      <c r="A412" s="13"/>
      <c r="B412" s="63"/>
      <c r="C412" s="64" t="str">
        <f aca="false">IF(B412="","",TEXT(B412,"DDD"))</f>
        <v/>
      </c>
      <c r="D412" s="32"/>
      <c r="E412" s="32"/>
      <c r="F412" s="33"/>
      <c r="G412" s="65"/>
      <c r="H412" s="32"/>
      <c r="I412" s="66" t="n">
        <v>0</v>
      </c>
      <c r="J412" s="67"/>
      <c r="K412" s="68"/>
      <c r="L412" s="68"/>
      <c r="M412" s="68"/>
      <c r="N412" s="68"/>
      <c r="O412" s="68"/>
      <c r="P412" s="33"/>
      <c r="Q412" s="68"/>
      <c r="R412" s="68"/>
      <c r="S412" s="13"/>
    </row>
    <row r="413" customFormat="false" ht="27.75" hidden="false" customHeight="true" outlineLevel="0" collapsed="false">
      <c r="A413" s="5"/>
      <c r="B413" s="69"/>
      <c r="C413" s="64" t="str">
        <f aca="false">IF(B413="","",TEXT(B413,"DDD"))</f>
        <v/>
      </c>
      <c r="D413" s="36"/>
      <c r="E413" s="36"/>
      <c r="F413" s="4"/>
      <c r="G413" s="70"/>
      <c r="H413" s="36"/>
      <c r="I413" s="66" t="n">
        <v>0</v>
      </c>
      <c r="J413" s="71"/>
      <c r="K413" s="72"/>
      <c r="L413" s="72"/>
      <c r="M413" s="72"/>
      <c r="N413" s="72"/>
      <c r="O413" s="72"/>
      <c r="P413" s="4"/>
      <c r="Q413" s="72"/>
      <c r="R413" s="72"/>
      <c r="S413" s="5"/>
    </row>
    <row r="414" customFormat="false" ht="27.75" hidden="false" customHeight="true" outlineLevel="0" collapsed="false">
      <c r="A414" s="13"/>
      <c r="B414" s="63"/>
      <c r="C414" s="64" t="str">
        <f aca="false">IF(B414="","",TEXT(B414,"DDD"))</f>
        <v/>
      </c>
      <c r="D414" s="32"/>
      <c r="E414" s="32"/>
      <c r="F414" s="33"/>
      <c r="G414" s="65"/>
      <c r="H414" s="32"/>
      <c r="I414" s="66" t="n">
        <v>0</v>
      </c>
      <c r="J414" s="67"/>
      <c r="K414" s="68"/>
      <c r="L414" s="68"/>
      <c r="M414" s="68"/>
      <c r="N414" s="68"/>
      <c r="O414" s="68"/>
      <c r="P414" s="33"/>
      <c r="Q414" s="68"/>
      <c r="R414" s="68"/>
      <c r="S414" s="13"/>
    </row>
    <row r="415" customFormat="false" ht="27.75" hidden="false" customHeight="true" outlineLevel="0" collapsed="false">
      <c r="A415" s="5"/>
      <c r="B415" s="69"/>
      <c r="C415" s="64" t="str">
        <f aca="false">IF(B415="","",TEXT(B415,"DDD"))</f>
        <v/>
      </c>
      <c r="D415" s="36"/>
      <c r="E415" s="36"/>
      <c r="F415" s="4"/>
      <c r="G415" s="70"/>
      <c r="H415" s="36"/>
      <c r="I415" s="66" t="n">
        <v>0</v>
      </c>
      <c r="J415" s="71"/>
      <c r="K415" s="72"/>
      <c r="L415" s="72"/>
      <c r="M415" s="72"/>
      <c r="N415" s="72"/>
      <c r="O415" s="72"/>
      <c r="P415" s="4"/>
      <c r="Q415" s="72"/>
      <c r="R415" s="72"/>
      <c r="S415" s="5"/>
    </row>
    <row r="416" customFormat="false" ht="27.75" hidden="false" customHeight="true" outlineLevel="0" collapsed="false">
      <c r="A416" s="13"/>
      <c r="B416" s="63"/>
      <c r="C416" s="64" t="str">
        <f aca="false">IF(B416="","",TEXT(B416,"DDD"))</f>
        <v/>
      </c>
      <c r="D416" s="32"/>
      <c r="E416" s="32"/>
      <c r="F416" s="33"/>
      <c r="G416" s="65"/>
      <c r="H416" s="32"/>
      <c r="I416" s="66" t="n">
        <v>0</v>
      </c>
      <c r="J416" s="67"/>
      <c r="K416" s="68"/>
      <c r="L416" s="68"/>
      <c r="M416" s="68"/>
      <c r="N416" s="68"/>
      <c r="O416" s="68"/>
      <c r="P416" s="33"/>
      <c r="Q416" s="68"/>
      <c r="R416" s="68"/>
      <c r="S416" s="13"/>
    </row>
    <row r="417" customFormat="false" ht="27.75" hidden="false" customHeight="true" outlineLevel="0" collapsed="false">
      <c r="A417" s="5"/>
      <c r="B417" s="69"/>
      <c r="C417" s="64" t="str">
        <f aca="false">IF(B417="","",TEXT(B417,"DDD"))</f>
        <v/>
      </c>
      <c r="D417" s="36"/>
      <c r="E417" s="36"/>
      <c r="F417" s="4"/>
      <c r="G417" s="70"/>
      <c r="H417" s="36"/>
      <c r="I417" s="66" t="n">
        <v>0</v>
      </c>
      <c r="J417" s="71"/>
      <c r="K417" s="72"/>
      <c r="L417" s="72"/>
      <c r="M417" s="72"/>
      <c r="N417" s="72"/>
      <c r="O417" s="72"/>
      <c r="P417" s="4"/>
      <c r="Q417" s="72"/>
      <c r="R417" s="72"/>
      <c r="S417" s="5"/>
    </row>
    <row r="418" customFormat="false" ht="27.75" hidden="false" customHeight="true" outlineLevel="0" collapsed="false">
      <c r="A418" s="13"/>
      <c r="B418" s="63"/>
      <c r="C418" s="64" t="str">
        <f aca="false">IF(B418="","",TEXT(B418,"DDD"))</f>
        <v/>
      </c>
      <c r="D418" s="32"/>
      <c r="E418" s="32"/>
      <c r="F418" s="33"/>
      <c r="G418" s="65"/>
      <c r="H418" s="32"/>
      <c r="I418" s="66" t="n">
        <v>0</v>
      </c>
      <c r="J418" s="67"/>
      <c r="K418" s="68"/>
      <c r="L418" s="68"/>
      <c r="M418" s="68"/>
      <c r="N418" s="68"/>
      <c r="O418" s="68"/>
      <c r="P418" s="33"/>
      <c r="Q418" s="68"/>
      <c r="R418" s="68"/>
      <c r="S418" s="13"/>
    </row>
    <row r="419" customFormat="false" ht="27.75" hidden="false" customHeight="true" outlineLevel="0" collapsed="false">
      <c r="A419" s="5"/>
      <c r="B419" s="69"/>
      <c r="C419" s="64" t="str">
        <f aca="false">IF(B419="","",TEXT(B419,"DDD"))</f>
        <v/>
      </c>
      <c r="D419" s="36"/>
      <c r="E419" s="36"/>
      <c r="F419" s="4"/>
      <c r="G419" s="70"/>
      <c r="H419" s="36"/>
      <c r="I419" s="66" t="n">
        <v>0</v>
      </c>
      <c r="J419" s="71"/>
      <c r="K419" s="72"/>
      <c r="L419" s="72"/>
      <c r="M419" s="72"/>
      <c r="N419" s="72"/>
      <c r="O419" s="72"/>
      <c r="P419" s="4"/>
      <c r="Q419" s="72"/>
      <c r="R419" s="72"/>
      <c r="S419" s="5"/>
    </row>
    <row r="420" customFormat="false" ht="27.75" hidden="false" customHeight="true" outlineLevel="0" collapsed="false">
      <c r="A420" s="13"/>
      <c r="B420" s="63"/>
      <c r="C420" s="64" t="str">
        <f aca="false">IF(B420="","",TEXT(B420,"DDD"))</f>
        <v/>
      </c>
      <c r="D420" s="32"/>
      <c r="E420" s="32"/>
      <c r="F420" s="33"/>
      <c r="G420" s="65"/>
      <c r="H420" s="32"/>
      <c r="I420" s="66" t="n">
        <v>0</v>
      </c>
      <c r="J420" s="67"/>
      <c r="K420" s="68"/>
      <c r="L420" s="68"/>
      <c r="M420" s="68"/>
      <c r="N420" s="68"/>
      <c r="O420" s="68"/>
      <c r="P420" s="33"/>
      <c r="Q420" s="68"/>
      <c r="R420" s="68"/>
      <c r="S420" s="13"/>
    </row>
    <row r="421" customFormat="false" ht="27.75" hidden="false" customHeight="true" outlineLevel="0" collapsed="false">
      <c r="A421" s="5"/>
      <c r="B421" s="69"/>
      <c r="C421" s="64" t="str">
        <f aca="false">IF(B421="","",TEXT(B421,"DDD"))</f>
        <v/>
      </c>
      <c r="D421" s="36"/>
      <c r="E421" s="36"/>
      <c r="F421" s="4"/>
      <c r="G421" s="70"/>
      <c r="H421" s="36"/>
      <c r="I421" s="66" t="n">
        <v>0</v>
      </c>
      <c r="J421" s="71"/>
      <c r="K421" s="72"/>
      <c r="L421" s="72"/>
      <c r="M421" s="72"/>
      <c r="N421" s="72"/>
      <c r="O421" s="72"/>
      <c r="P421" s="4"/>
      <c r="Q421" s="72"/>
      <c r="R421" s="72"/>
      <c r="S421" s="5"/>
    </row>
    <row r="422" customFormat="false" ht="27.75" hidden="false" customHeight="true" outlineLevel="0" collapsed="false">
      <c r="A422" s="13"/>
      <c r="B422" s="63"/>
      <c r="C422" s="64" t="str">
        <f aca="false">IF(B422="","",TEXT(B422,"DDD"))</f>
        <v/>
      </c>
      <c r="D422" s="32"/>
      <c r="E422" s="32"/>
      <c r="F422" s="33"/>
      <c r="G422" s="65"/>
      <c r="H422" s="32"/>
      <c r="I422" s="66" t="n">
        <v>0</v>
      </c>
      <c r="J422" s="67"/>
      <c r="K422" s="68"/>
      <c r="L422" s="68"/>
      <c r="M422" s="68"/>
      <c r="N422" s="68"/>
      <c r="O422" s="68"/>
      <c r="P422" s="33"/>
      <c r="Q422" s="68"/>
      <c r="R422" s="68"/>
      <c r="S422" s="13"/>
    </row>
    <row r="423" customFormat="false" ht="27.75" hidden="false" customHeight="true" outlineLevel="0" collapsed="false">
      <c r="A423" s="5"/>
      <c r="B423" s="69"/>
      <c r="C423" s="64" t="str">
        <f aca="false">IF(B423="","",TEXT(B423,"DDD"))</f>
        <v/>
      </c>
      <c r="D423" s="36"/>
      <c r="E423" s="36"/>
      <c r="F423" s="4"/>
      <c r="G423" s="70"/>
      <c r="H423" s="36"/>
      <c r="I423" s="66" t="n">
        <v>0</v>
      </c>
      <c r="J423" s="71"/>
      <c r="K423" s="72"/>
      <c r="L423" s="72"/>
      <c r="M423" s="72"/>
      <c r="N423" s="72"/>
      <c r="O423" s="72"/>
      <c r="P423" s="4"/>
      <c r="Q423" s="72"/>
      <c r="R423" s="72"/>
      <c r="S423" s="5"/>
    </row>
    <row r="424" customFormat="false" ht="27.75" hidden="false" customHeight="true" outlineLevel="0" collapsed="false">
      <c r="A424" s="13"/>
      <c r="B424" s="63"/>
      <c r="C424" s="64" t="str">
        <f aca="false">IF(B424="","",TEXT(B424,"DDD"))</f>
        <v/>
      </c>
      <c r="D424" s="32"/>
      <c r="E424" s="32"/>
      <c r="F424" s="33"/>
      <c r="G424" s="65"/>
      <c r="H424" s="32"/>
      <c r="I424" s="66" t="n">
        <v>0</v>
      </c>
      <c r="J424" s="67"/>
      <c r="K424" s="68"/>
      <c r="L424" s="68"/>
      <c r="M424" s="68"/>
      <c r="N424" s="68"/>
      <c r="O424" s="68"/>
      <c r="P424" s="33"/>
      <c r="Q424" s="68"/>
      <c r="R424" s="68"/>
      <c r="S424" s="13"/>
    </row>
    <row r="425" customFormat="false" ht="27.75" hidden="false" customHeight="true" outlineLevel="0" collapsed="false">
      <c r="A425" s="5"/>
      <c r="B425" s="69"/>
      <c r="C425" s="64" t="str">
        <f aca="false">IF(B425="","",TEXT(B425,"DDD"))</f>
        <v/>
      </c>
      <c r="D425" s="36"/>
      <c r="E425" s="36"/>
      <c r="F425" s="4"/>
      <c r="G425" s="70"/>
      <c r="H425" s="36"/>
      <c r="I425" s="66" t="n">
        <v>0</v>
      </c>
      <c r="J425" s="71"/>
      <c r="K425" s="72"/>
      <c r="L425" s="72"/>
      <c r="M425" s="72"/>
      <c r="N425" s="72"/>
      <c r="O425" s="72"/>
      <c r="P425" s="4"/>
      <c r="Q425" s="72"/>
      <c r="R425" s="72"/>
      <c r="S425" s="5"/>
    </row>
    <row r="426" customFormat="false" ht="27.75" hidden="false" customHeight="true" outlineLevel="0" collapsed="false">
      <c r="A426" s="13"/>
      <c r="B426" s="63"/>
      <c r="C426" s="64" t="str">
        <f aca="false">IF(B426="","",TEXT(B426,"DDD"))</f>
        <v/>
      </c>
      <c r="D426" s="32"/>
      <c r="E426" s="32"/>
      <c r="F426" s="33"/>
      <c r="G426" s="65"/>
      <c r="H426" s="32"/>
      <c r="I426" s="66" t="n">
        <v>0</v>
      </c>
      <c r="J426" s="67"/>
      <c r="K426" s="68"/>
      <c r="L426" s="68"/>
      <c r="M426" s="68"/>
      <c r="N426" s="68"/>
      <c r="O426" s="68"/>
      <c r="P426" s="33"/>
      <c r="Q426" s="68"/>
      <c r="R426" s="68"/>
      <c r="S426" s="13"/>
    </row>
    <row r="427" customFormat="false" ht="27.75" hidden="false" customHeight="true" outlineLevel="0" collapsed="false">
      <c r="A427" s="5"/>
      <c r="B427" s="69"/>
      <c r="C427" s="64" t="str">
        <f aca="false">IF(B427="","",TEXT(B427,"DDD"))</f>
        <v/>
      </c>
      <c r="D427" s="36"/>
      <c r="E427" s="36"/>
      <c r="F427" s="4"/>
      <c r="G427" s="70"/>
      <c r="H427" s="36"/>
      <c r="I427" s="66" t="n">
        <v>0</v>
      </c>
      <c r="J427" s="71"/>
      <c r="K427" s="72"/>
      <c r="L427" s="72"/>
      <c r="M427" s="72"/>
      <c r="N427" s="72"/>
      <c r="O427" s="72"/>
      <c r="P427" s="4"/>
      <c r="Q427" s="72"/>
      <c r="R427" s="72"/>
      <c r="S427" s="5"/>
    </row>
    <row r="428" customFormat="false" ht="27.75" hidden="false" customHeight="true" outlineLevel="0" collapsed="false">
      <c r="A428" s="13"/>
      <c r="B428" s="63"/>
      <c r="C428" s="64" t="str">
        <f aca="false">IF(B428="","",TEXT(B428,"DDD"))</f>
        <v/>
      </c>
      <c r="D428" s="32"/>
      <c r="E428" s="32"/>
      <c r="F428" s="33"/>
      <c r="G428" s="65"/>
      <c r="H428" s="32"/>
      <c r="I428" s="66" t="n">
        <v>0</v>
      </c>
      <c r="J428" s="67"/>
      <c r="K428" s="68"/>
      <c r="L428" s="68"/>
      <c r="M428" s="68"/>
      <c r="N428" s="68"/>
      <c r="O428" s="68"/>
      <c r="P428" s="33"/>
      <c r="Q428" s="68"/>
      <c r="R428" s="68"/>
      <c r="S428" s="13"/>
    </row>
    <row r="429" customFormat="false" ht="27.75" hidden="false" customHeight="true" outlineLevel="0" collapsed="false">
      <c r="A429" s="5"/>
      <c r="B429" s="69"/>
      <c r="C429" s="64" t="str">
        <f aca="false">IF(B429="","",TEXT(B429,"DDD"))</f>
        <v/>
      </c>
      <c r="D429" s="36"/>
      <c r="E429" s="36"/>
      <c r="F429" s="4"/>
      <c r="G429" s="70"/>
      <c r="H429" s="36"/>
      <c r="I429" s="66" t="n">
        <v>0</v>
      </c>
      <c r="J429" s="71"/>
      <c r="K429" s="72"/>
      <c r="L429" s="72"/>
      <c r="M429" s="72"/>
      <c r="N429" s="72"/>
      <c r="O429" s="72"/>
      <c r="P429" s="4"/>
      <c r="Q429" s="72"/>
      <c r="R429" s="72"/>
      <c r="S429" s="5"/>
    </row>
    <row r="430" customFormat="false" ht="27.75" hidden="false" customHeight="true" outlineLevel="0" collapsed="false">
      <c r="A430" s="13"/>
      <c r="B430" s="63"/>
      <c r="C430" s="64" t="str">
        <f aca="false">IF(B430="","",TEXT(B430,"DDD"))</f>
        <v/>
      </c>
      <c r="D430" s="32"/>
      <c r="E430" s="32"/>
      <c r="F430" s="33"/>
      <c r="G430" s="65"/>
      <c r="H430" s="32"/>
      <c r="I430" s="66" t="n">
        <v>0</v>
      </c>
      <c r="J430" s="67"/>
      <c r="K430" s="68"/>
      <c r="L430" s="68"/>
      <c r="M430" s="68"/>
      <c r="N430" s="68"/>
      <c r="O430" s="68"/>
      <c r="P430" s="33"/>
      <c r="Q430" s="68"/>
      <c r="R430" s="68"/>
      <c r="S430" s="13"/>
    </row>
    <row r="431" customFormat="false" ht="27.75" hidden="false" customHeight="true" outlineLevel="0" collapsed="false">
      <c r="A431" s="5"/>
      <c r="B431" s="69"/>
      <c r="C431" s="64" t="str">
        <f aca="false">IF(B431="","",TEXT(B431,"DDD"))</f>
        <v/>
      </c>
      <c r="D431" s="36"/>
      <c r="E431" s="36"/>
      <c r="F431" s="4"/>
      <c r="G431" s="70"/>
      <c r="H431" s="36"/>
      <c r="I431" s="66" t="n">
        <v>0</v>
      </c>
      <c r="J431" s="71"/>
      <c r="K431" s="72"/>
      <c r="L431" s="72"/>
      <c r="M431" s="72"/>
      <c r="N431" s="72"/>
      <c r="O431" s="72"/>
      <c r="P431" s="4"/>
      <c r="Q431" s="72"/>
      <c r="R431" s="72"/>
      <c r="S431" s="5"/>
    </row>
    <row r="432" customFormat="false" ht="27.75" hidden="false" customHeight="true" outlineLevel="0" collapsed="false">
      <c r="A432" s="13"/>
      <c r="B432" s="63"/>
      <c r="C432" s="64" t="str">
        <f aca="false">IF(B432="","",TEXT(B432,"DDD"))</f>
        <v/>
      </c>
      <c r="D432" s="32"/>
      <c r="E432" s="32"/>
      <c r="F432" s="33"/>
      <c r="G432" s="65"/>
      <c r="H432" s="32"/>
      <c r="I432" s="66" t="n">
        <v>0</v>
      </c>
      <c r="J432" s="67"/>
      <c r="K432" s="68"/>
      <c r="L432" s="68"/>
      <c r="M432" s="68"/>
      <c r="N432" s="68"/>
      <c r="O432" s="68"/>
      <c r="P432" s="33"/>
      <c r="Q432" s="68"/>
      <c r="R432" s="68"/>
      <c r="S432" s="13"/>
    </row>
    <row r="433" customFormat="false" ht="27.75" hidden="false" customHeight="true" outlineLevel="0" collapsed="false">
      <c r="A433" s="5"/>
      <c r="B433" s="69"/>
      <c r="C433" s="64" t="str">
        <f aca="false">IF(B433="","",TEXT(B433,"DDD"))</f>
        <v/>
      </c>
      <c r="D433" s="36"/>
      <c r="E433" s="36"/>
      <c r="F433" s="4"/>
      <c r="G433" s="70"/>
      <c r="H433" s="36"/>
      <c r="I433" s="66" t="n">
        <v>0</v>
      </c>
      <c r="J433" s="71"/>
      <c r="K433" s="72"/>
      <c r="L433" s="72"/>
      <c r="M433" s="72"/>
      <c r="N433" s="72"/>
      <c r="O433" s="72"/>
      <c r="P433" s="4"/>
      <c r="Q433" s="72"/>
      <c r="R433" s="72"/>
      <c r="S433" s="5"/>
    </row>
    <row r="434" customFormat="false" ht="27.75" hidden="false" customHeight="true" outlineLevel="0" collapsed="false">
      <c r="A434" s="13"/>
      <c r="B434" s="63"/>
      <c r="C434" s="64" t="str">
        <f aca="false">IF(B434="","",TEXT(B434,"DDD"))</f>
        <v/>
      </c>
      <c r="D434" s="32"/>
      <c r="E434" s="32"/>
      <c r="F434" s="33"/>
      <c r="G434" s="65"/>
      <c r="H434" s="32"/>
      <c r="I434" s="66" t="n">
        <v>0</v>
      </c>
      <c r="J434" s="67"/>
      <c r="K434" s="68"/>
      <c r="L434" s="68"/>
      <c r="M434" s="68"/>
      <c r="N434" s="68"/>
      <c r="O434" s="68"/>
      <c r="P434" s="33"/>
      <c r="Q434" s="68"/>
      <c r="R434" s="68"/>
      <c r="S434" s="13"/>
    </row>
    <row r="435" customFormat="false" ht="27.75" hidden="false" customHeight="true" outlineLevel="0" collapsed="false">
      <c r="A435" s="5"/>
      <c r="B435" s="69"/>
      <c r="C435" s="64" t="str">
        <f aca="false">IF(B435="","",TEXT(B435,"DDD"))</f>
        <v/>
      </c>
      <c r="D435" s="36"/>
      <c r="E435" s="36"/>
      <c r="F435" s="4"/>
      <c r="G435" s="70"/>
      <c r="H435" s="36"/>
      <c r="I435" s="66" t="n">
        <v>0</v>
      </c>
      <c r="J435" s="71"/>
      <c r="K435" s="72"/>
      <c r="L435" s="72"/>
      <c r="M435" s="72"/>
      <c r="N435" s="72"/>
      <c r="O435" s="72"/>
      <c r="P435" s="4"/>
      <c r="Q435" s="72"/>
      <c r="R435" s="72"/>
      <c r="S435" s="5"/>
    </row>
    <row r="436" customFormat="false" ht="27.75" hidden="false" customHeight="true" outlineLevel="0" collapsed="false">
      <c r="A436" s="13"/>
      <c r="B436" s="63"/>
      <c r="C436" s="64" t="str">
        <f aca="false">IF(B436="","",TEXT(B436,"DDD"))</f>
        <v/>
      </c>
      <c r="D436" s="32"/>
      <c r="E436" s="32"/>
      <c r="F436" s="33"/>
      <c r="G436" s="65"/>
      <c r="H436" s="32"/>
      <c r="I436" s="66" t="n">
        <v>0</v>
      </c>
      <c r="J436" s="67"/>
      <c r="K436" s="68"/>
      <c r="L436" s="68"/>
      <c r="M436" s="68"/>
      <c r="N436" s="68"/>
      <c r="O436" s="68"/>
      <c r="P436" s="33"/>
      <c r="Q436" s="68"/>
      <c r="R436" s="68"/>
      <c r="S436" s="13"/>
    </row>
    <row r="437" customFormat="false" ht="27.75" hidden="false" customHeight="true" outlineLevel="0" collapsed="false">
      <c r="A437" s="5"/>
      <c r="B437" s="69"/>
      <c r="C437" s="64" t="str">
        <f aca="false">IF(B437="","",TEXT(B437,"DDD"))</f>
        <v/>
      </c>
      <c r="D437" s="36"/>
      <c r="E437" s="36"/>
      <c r="F437" s="4"/>
      <c r="G437" s="70"/>
      <c r="H437" s="36"/>
      <c r="I437" s="66" t="n">
        <v>0</v>
      </c>
      <c r="J437" s="71"/>
      <c r="K437" s="72"/>
      <c r="L437" s="72"/>
      <c r="M437" s="72"/>
      <c r="N437" s="72"/>
      <c r="O437" s="72"/>
      <c r="P437" s="4"/>
      <c r="Q437" s="72"/>
      <c r="R437" s="72"/>
      <c r="S437" s="5"/>
    </row>
    <row r="438" customFormat="false" ht="27.75" hidden="false" customHeight="true" outlineLevel="0" collapsed="false">
      <c r="A438" s="13"/>
      <c r="B438" s="63"/>
      <c r="C438" s="64" t="str">
        <f aca="false">IF(B438="","",TEXT(B438,"DDD"))</f>
        <v/>
      </c>
      <c r="D438" s="32"/>
      <c r="E438" s="32"/>
      <c r="F438" s="33"/>
      <c r="G438" s="65"/>
      <c r="H438" s="32"/>
      <c r="I438" s="66" t="n">
        <v>0</v>
      </c>
      <c r="J438" s="67"/>
      <c r="K438" s="68"/>
      <c r="L438" s="68"/>
      <c r="M438" s="68"/>
      <c r="N438" s="68"/>
      <c r="O438" s="68"/>
      <c r="P438" s="33"/>
      <c r="Q438" s="68"/>
      <c r="R438" s="68"/>
      <c r="S438" s="13"/>
    </row>
    <row r="439" customFormat="false" ht="27.75" hidden="false" customHeight="true" outlineLevel="0" collapsed="false">
      <c r="A439" s="5"/>
      <c r="B439" s="69"/>
      <c r="C439" s="64" t="str">
        <f aca="false">IF(B439="","",TEXT(B439,"DDD"))</f>
        <v/>
      </c>
      <c r="D439" s="36"/>
      <c r="E439" s="36"/>
      <c r="F439" s="4"/>
      <c r="G439" s="70"/>
      <c r="H439" s="36"/>
      <c r="I439" s="66" t="n">
        <v>0</v>
      </c>
      <c r="J439" s="71"/>
      <c r="K439" s="72"/>
      <c r="L439" s="72"/>
      <c r="M439" s="72"/>
      <c r="N439" s="72"/>
      <c r="O439" s="72"/>
      <c r="P439" s="4"/>
      <c r="Q439" s="72"/>
      <c r="R439" s="72"/>
      <c r="S439" s="5"/>
    </row>
    <row r="440" customFormat="false" ht="27.75" hidden="false" customHeight="true" outlineLevel="0" collapsed="false">
      <c r="A440" s="13"/>
      <c r="B440" s="63"/>
      <c r="C440" s="64" t="str">
        <f aca="false">IF(B440="","",TEXT(B440,"DDD"))</f>
        <v/>
      </c>
      <c r="D440" s="32"/>
      <c r="E440" s="32"/>
      <c r="F440" s="33"/>
      <c r="G440" s="65"/>
      <c r="H440" s="32"/>
      <c r="I440" s="66" t="n">
        <v>0</v>
      </c>
      <c r="J440" s="67"/>
      <c r="K440" s="68"/>
      <c r="L440" s="68"/>
      <c r="M440" s="68"/>
      <c r="N440" s="68"/>
      <c r="O440" s="68"/>
      <c r="P440" s="33"/>
      <c r="Q440" s="68"/>
      <c r="R440" s="68"/>
      <c r="S440" s="13"/>
    </row>
    <row r="441" customFormat="false" ht="27.75" hidden="false" customHeight="true" outlineLevel="0" collapsed="false">
      <c r="A441" s="5"/>
      <c r="B441" s="69"/>
      <c r="C441" s="64" t="str">
        <f aca="false">IF(B441="","",TEXT(B441,"DDD"))</f>
        <v/>
      </c>
      <c r="D441" s="36"/>
      <c r="E441" s="36"/>
      <c r="F441" s="4"/>
      <c r="G441" s="70"/>
      <c r="H441" s="36"/>
      <c r="I441" s="66" t="n">
        <v>0</v>
      </c>
      <c r="J441" s="71"/>
      <c r="K441" s="72"/>
      <c r="L441" s="72"/>
      <c r="M441" s="72"/>
      <c r="N441" s="72"/>
      <c r="O441" s="72"/>
      <c r="P441" s="4"/>
      <c r="Q441" s="72"/>
      <c r="R441" s="72"/>
      <c r="S441" s="5"/>
    </row>
    <row r="442" customFormat="false" ht="27.75" hidden="false" customHeight="true" outlineLevel="0" collapsed="false">
      <c r="A442" s="13"/>
      <c r="B442" s="63"/>
      <c r="C442" s="64" t="str">
        <f aca="false">IF(B442="","",TEXT(B442,"DDD"))</f>
        <v/>
      </c>
      <c r="D442" s="32"/>
      <c r="E442" s="32"/>
      <c r="F442" s="33"/>
      <c r="G442" s="65"/>
      <c r="H442" s="32"/>
      <c r="I442" s="66" t="n">
        <v>0</v>
      </c>
      <c r="J442" s="67"/>
      <c r="K442" s="68"/>
      <c r="L442" s="68"/>
      <c r="M442" s="68"/>
      <c r="N442" s="68"/>
      <c r="O442" s="68"/>
      <c r="P442" s="33"/>
      <c r="Q442" s="68"/>
      <c r="R442" s="68"/>
      <c r="S442" s="13"/>
    </row>
    <row r="443" customFormat="false" ht="27.75" hidden="false" customHeight="true" outlineLevel="0" collapsed="false">
      <c r="A443" s="5"/>
      <c r="B443" s="69"/>
      <c r="C443" s="64" t="str">
        <f aca="false">IF(B443="","",TEXT(B443,"DDD"))</f>
        <v/>
      </c>
      <c r="D443" s="36"/>
      <c r="E443" s="36"/>
      <c r="F443" s="4"/>
      <c r="G443" s="70"/>
      <c r="H443" s="36"/>
      <c r="I443" s="66" t="n">
        <v>0</v>
      </c>
      <c r="J443" s="71"/>
      <c r="K443" s="72"/>
      <c r="L443" s="72"/>
      <c r="M443" s="72"/>
      <c r="N443" s="72"/>
      <c r="O443" s="72"/>
      <c r="P443" s="4"/>
      <c r="Q443" s="72"/>
      <c r="R443" s="72"/>
      <c r="S443" s="5"/>
    </row>
    <row r="444" customFormat="false" ht="27.75" hidden="false" customHeight="true" outlineLevel="0" collapsed="false">
      <c r="A444" s="13"/>
      <c r="B444" s="63"/>
      <c r="C444" s="64" t="str">
        <f aca="false">IF(B444="","",TEXT(B444,"DDD"))</f>
        <v/>
      </c>
      <c r="D444" s="32"/>
      <c r="E444" s="32"/>
      <c r="F444" s="33"/>
      <c r="G444" s="65"/>
      <c r="H444" s="32"/>
      <c r="I444" s="66" t="n">
        <v>0</v>
      </c>
      <c r="J444" s="67"/>
      <c r="K444" s="68"/>
      <c r="L444" s="68"/>
      <c r="M444" s="68"/>
      <c r="N444" s="68"/>
      <c r="O444" s="68"/>
      <c r="P444" s="33"/>
      <c r="Q444" s="68"/>
      <c r="R444" s="68"/>
      <c r="S444" s="13"/>
    </row>
    <row r="445" customFormat="false" ht="27.75" hidden="false" customHeight="true" outlineLevel="0" collapsed="false">
      <c r="A445" s="5"/>
      <c r="B445" s="69"/>
      <c r="C445" s="64" t="str">
        <f aca="false">IF(B445="","",TEXT(B445,"DDD"))</f>
        <v/>
      </c>
      <c r="D445" s="36"/>
      <c r="E445" s="36"/>
      <c r="F445" s="4"/>
      <c r="G445" s="70"/>
      <c r="H445" s="36"/>
      <c r="I445" s="66" t="n">
        <v>0</v>
      </c>
      <c r="J445" s="71"/>
      <c r="K445" s="72"/>
      <c r="L445" s="72"/>
      <c r="M445" s="72"/>
      <c r="N445" s="72"/>
      <c r="O445" s="72"/>
      <c r="P445" s="4"/>
      <c r="Q445" s="72"/>
      <c r="R445" s="72"/>
      <c r="S445" s="5"/>
    </row>
    <row r="446" customFormat="false" ht="27.75" hidden="false" customHeight="true" outlineLevel="0" collapsed="false">
      <c r="A446" s="13"/>
      <c r="B446" s="63"/>
      <c r="C446" s="64" t="str">
        <f aca="false">IF(B446="","",TEXT(B446,"DDD"))</f>
        <v/>
      </c>
      <c r="D446" s="32"/>
      <c r="E446" s="32"/>
      <c r="F446" s="33"/>
      <c r="G446" s="65"/>
      <c r="H446" s="32"/>
      <c r="I446" s="66" t="n">
        <v>0</v>
      </c>
      <c r="J446" s="67"/>
      <c r="K446" s="68"/>
      <c r="L446" s="68"/>
      <c r="M446" s="68"/>
      <c r="N446" s="68"/>
      <c r="O446" s="68"/>
      <c r="P446" s="33"/>
      <c r="Q446" s="68"/>
      <c r="R446" s="68"/>
      <c r="S446" s="13"/>
    </row>
    <row r="447" customFormat="false" ht="27.75" hidden="false" customHeight="true" outlineLevel="0" collapsed="false">
      <c r="A447" s="5"/>
      <c r="B447" s="69"/>
      <c r="C447" s="64" t="str">
        <f aca="false">IF(B447="","",TEXT(B447,"DDD"))</f>
        <v/>
      </c>
      <c r="D447" s="36"/>
      <c r="E447" s="36"/>
      <c r="F447" s="4"/>
      <c r="G447" s="70"/>
      <c r="H447" s="36"/>
      <c r="I447" s="66" t="n">
        <v>0</v>
      </c>
      <c r="J447" s="71"/>
      <c r="K447" s="72"/>
      <c r="L447" s="72"/>
      <c r="M447" s="72"/>
      <c r="N447" s="72"/>
      <c r="O447" s="72"/>
      <c r="P447" s="4"/>
      <c r="Q447" s="72"/>
      <c r="R447" s="72"/>
      <c r="S447" s="5"/>
    </row>
    <row r="448" customFormat="false" ht="27.75" hidden="false" customHeight="true" outlineLevel="0" collapsed="false">
      <c r="A448" s="13"/>
      <c r="B448" s="63"/>
      <c r="C448" s="64" t="str">
        <f aca="false">IF(B448="","",TEXT(B448,"DDD"))</f>
        <v/>
      </c>
      <c r="D448" s="32"/>
      <c r="E448" s="32"/>
      <c r="F448" s="33"/>
      <c r="G448" s="65"/>
      <c r="H448" s="32"/>
      <c r="I448" s="66" t="n">
        <v>0</v>
      </c>
      <c r="J448" s="67"/>
      <c r="K448" s="68"/>
      <c r="L448" s="68"/>
      <c r="M448" s="68"/>
      <c r="N448" s="68"/>
      <c r="O448" s="68"/>
      <c r="P448" s="33"/>
      <c r="Q448" s="68"/>
      <c r="R448" s="68"/>
      <c r="S448" s="13"/>
    </row>
    <row r="449" customFormat="false" ht="27.75" hidden="false" customHeight="true" outlineLevel="0" collapsed="false">
      <c r="A449" s="5"/>
      <c r="B449" s="69"/>
      <c r="C449" s="64" t="str">
        <f aca="false">IF(B449="","",TEXT(B449,"DDD"))</f>
        <v/>
      </c>
      <c r="D449" s="36"/>
      <c r="E449" s="36"/>
      <c r="F449" s="4"/>
      <c r="G449" s="70"/>
      <c r="H449" s="36"/>
      <c r="I449" s="66" t="n">
        <v>0</v>
      </c>
      <c r="J449" s="71"/>
      <c r="K449" s="72"/>
      <c r="L449" s="72"/>
      <c r="M449" s="72"/>
      <c r="N449" s="72"/>
      <c r="O449" s="72"/>
      <c r="P449" s="4"/>
      <c r="Q449" s="72"/>
      <c r="R449" s="72"/>
      <c r="S449" s="5"/>
    </row>
    <row r="450" customFormat="false" ht="27.75" hidden="false" customHeight="true" outlineLevel="0" collapsed="false">
      <c r="A450" s="13"/>
      <c r="B450" s="63"/>
      <c r="C450" s="64" t="str">
        <f aca="false">IF(B450="","",TEXT(B450,"DDD"))</f>
        <v/>
      </c>
      <c r="D450" s="32"/>
      <c r="E450" s="32"/>
      <c r="F450" s="33"/>
      <c r="G450" s="65"/>
      <c r="H450" s="32"/>
      <c r="I450" s="66" t="n">
        <v>0</v>
      </c>
      <c r="J450" s="67"/>
      <c r="K450" s="68"/>
      <c r="L450" s="68"/>
      <c r="M450" s="68"/>
      <c r="N450" s="68"/>
      <c r="O450" s="68"/>
      <c r="P450" s="33"/>
      <c r="Q450" s="68"/>
      <c r="R450" s="68"/>
      <c r="S450" s="13"/>
    </row>
    <row r="451" customFormat="false" ht="27.75" hidden="false" customHeight="true" outlineLevel="0" collapsed="false">
      <c r="A451" s="5"/>
      <c r="B451" s="69"/>
      <c r="C451" s="64" t="str">
        <f aca="false">IF(B451="","",TEXT(B451,"DDD"))</f>
        <v/>
      </c>
      <c r="D451" s="36"/>
      <c r="E451" s="36"/>
      <c r="F451" s="4"/>
      <c r="G451" s="70"/>
      <c r="H451" s="36"/>
      <c r="I451" s="66" t="n">
        <v>0</v>
      </c>
      <c r="J451" s="71"/>
      <c r="K451" s="72"/>
      <c r="L451" s="72"/>
      <c r="M451" s="72"/>
      <c r="N451" s="72"/>
      <c r="O451" s="72"/>
      <c r="P451" s="4"/>
      <c r="Q451" s="72"/>
      <c r="R451" s="72"/>
      <c r="S451" s="5"/>
    </row>
    <row r="452" customFormat="false" ht="27.75" hidden="false" customHeight="true" outlineLevel="0" collapsed="false">
      <c r="A452" s="13"/>
      <c r="B452" s="63"/>
      <c r="C452" s="64" t="str">
        <f aca="false">IF(B452="","",TEXT(B452,"DDD"))</f>
        <v/>
      </c>
      <c r="D452" s="32"/>
      <c r="E452" s="32"/>
      <c r="F452" s="33"/>
      <c r="G452" s="65"/>
      <c r="H452" s="32"/>
      <c r="I452" s="66" t="n">
        <v>0</v>
      </c>
      <c r="J452" s="67"/>
      <c r="K452" s="68"/>
      <c r="L452" s="68"/>
      <c r="M452" s="68"/>
      <c r="N452" s="68"/>
      <c r="O452" s="68"/>
      <c r="P452" s="33"/>
      <c r="Q452" s="68"/>
      <c r="R452" s="68"/>
      <c r="S452" s="13"/>
    </row>
    <row r="453" customFormat="false" ht="27.75" hidden="false" customHeight="true" outlineLevel="0" collapsed="false">
      <c r="A453" s="5"/>
      <c r="B453" s="69"/>
      <c r="C453" s="64" t="str">
        <f aca="false">IF(B453="","",TEXT(B453,"DDD"))</f>
        <v/>
      </c>
      <c r="D453" s="36"/>
      <c r="E453" s="36"/>
      <c r="F453" s="4"/>
      <c r="G453" s="70"/>
      <c r="H453" s="36"/>
      <c r="I453" s="66" t="n">
        <v>0</v>
      </c>
      <c r="J453" s="71"/>
      <c r="K453" s="72"/>
      <c r="L453" s="72"/>
      <c r="M453" s="72"/>
      <c r="N453" s="72"/>
      <c r="O453" s="72"/>
      <c r="P453" s="4"/>
      <c r="Q453" s="72"/>
      <c r="R453" s="72"/>
      <c r="S453" s="5"/>
    </row>
    <row r="454" customFormat="false" ht="27.75" hidden="false" customHeight="true" outlineLevel="0" collapsed="false">
      <c r="A454" s="13"/>
      <c r="B454" s="63"/>
      <c r="C454" s="64" t="str">
        <f aca="false">IF(B454="","",TEXT(B454,"DDD"))</f>
        <v/>
      </c>
      <c r="D454" s="32"/>
      <c r="E454" s="32"/>
      <c r="F454" s="33"/>
      <c r="G454" s="65"/>
      <c r="H454" s="32"/>
      <c r="I454" s="66" t="n">
        <v>0</v>
      </c>
      <c r="J454" s="67"/>
      <c r="K454" s="68"/>
      <c r="L454" s="68"/>
      <c r="M454" s="68"/>
      <c r="N454" s="68"/>
      <c r="O454" s="68"/>
      <c r="P454" s="33"/>
      <c r="Q454" s="68"/>
      <c r="R454" s="68"/>
      <c r="S454" s="13"/>
    </row>
    <row r="455" customFormat="false" ht="27.75" hidden="false" customHeight="true" outlineLevel="0" collapsed="false">
      <c r="A455" s="5"/>
      <c r="B455" s="69"/>
      <c r="C455" s="64" t="str">
        <f aca="false">IF(B455="","",TEXT(B455,"DDD"))</f>
        <v/>
      </c>
      <c r="D455" s="36"/>
      <c r="E455" s="36"/>
      <c r="F455" s="4"/>
      <c r="G455" s="70"/>
      <c r="H455" s="36"/>
      <c r="I455" s="66" t="n">
        <v>0</v>
      </c>
      <c r="J455" s="71"/>
      <c r="K455" s="72"/>
      <c r="L455" s="72"/>
      <c r="M455" s="72"/>
      <c r="N455" s="72"/>
      <c r="O455" s="72"/>
      <c r="P455" s="4"/>
      <c r="Q455" s="72"/>
      <c r="R455" s="72"/>
      <c r="S455" s="5"/>
    </row>
    <row r="456" customFormat="false" ht="27.75" hidden="false" customHeight="true" outlineLevel="0" collapsed="false">
      <c r="A456" s="13"/>
      <c r="B456" s="63"/>
      <c r="C456" s="64" t="str">
        <f aca="false">IF(B456="","",TEXT(B456,"DDD"))</f>
        <v/>
      </c>
      <c r="D456" s="32"/>
      <c r="E456" s="32"/>
      <c r="F456" s="33"/>
      <c r="G456" s="65"/>
      <c r="H456" s="32"/>
      <c r="I456" s="66" t="n">
        <v>0</v>
      </c>
      <c r="J456" s="67"/>
      <c r="K456" s="68"/>
      <c r="L456" s="68"/>
      <c r="M456" s="68"/>
      <c r="N456" s="68"/>
      <c r="O456" s="68"/>
      <c r="P456" s="33"/>
      <c r="Q456" s="68"/>
      <c r="R456" s="68"/>
      <c r="S456" s="13"/>
    </row>
    <row r="457" customFormat="false" ht="27.75" hidden="false" customHeight="true" outlineLevel="0" collapsed="false">
      <c r="A457" s="5"/>
      <c r="B457" s="69"/>
      <c r="C457" s="64" t="str">
        <f aca="false">IF(B457="","",TEXT(B457,"DDD"))</f>
        <v/>
      </c>
      <c r="D457" s="36"/>
      <c r="E457" s="36"/>
      <c r="F457" s="4"/>
      <c r="G457" s="70"/>
      <c r="H457" s="36"/>
      <c r="I457" s="66" t="n">
        <v>0</v>
      </c>
      <c r="J457" s="71"/>
      <c r="K457" s="72"/>
      <c r="L457" s="72"/>
      <c r="M457" s="72"/>
      <c r="N457" s="72"/>
      <c r="O457" s="72"/>
      <c r="P457" s="4"/>
      <c r="Q457" s="72"/>
      <c r="R457" s="72"/>
      <c r="S457" s="5"/>
    </row>
    <row r="458" customFormat="false" ht="27.75" hidden="false" customHeight="true" outlineLevel="0" collapsed="false">
      <c r="A458" s="13"/>
      <c r="B458" s="63"/>
      <c r="C458" s="64" t="str">
        <f aca="false">IF(B458="","",TEXT(B458,"DDD"))</f>
        <v/>
      </c>
      <c r="D458" s="32"/>
      <c r="E458" s="32"/>
      <c r="F458" s="33"/>
      <c r="G458" s="65"/>
      <c r="H458" s="32"/>
      <c r="I458" s="66" t="n">
        <v>0</v>
      </c>
      <c r="J458" s="67"/>
      <c r="K458" s="68"/>
      <c r="L458" s="68"/>
      <c r="M458" s="68"/>
      <c r="N458" s="68"/>
      <c r="O458" s="68"/>
      <c r="P458" s="33"/>
      <c r="Q458" s="68"/>
      <c r="R458" s="68"/>
      <c r="S458" s="13"/>
    </row>
    <row r="459" customFormat="false" ht="27.75" hidden="false" customHeight="true" outlineLevel="0" collapsed="false">
      <c r="A459" s="5"/>
      <c r="B459" s="69"/>
      <c r="C459" s="64" t="str">
        <f aca="false">IF(B459="","",TEXT(B459,"DDD"))</f>
        <v/>
      </c>
      <c r="D459" s="36"/>
      <c r="E459" s="36"/>
      <c r="F459" s="4"/>
      <c r="G459" s="70"/>
      <c r="H459" s="36"/>
      <c r="I459" s="66" t="n">
        <v>0</v>
      </c>
      <c r="J459" s="71"/>
      <c r="K459" s="72"/>
      <c r="L459" s="72"/>
      <c r="M459" s="72"/>
      <c r="N459" s="72"/>
      <c r="O459" s="72"/>
      <c r="P459" s="4"/>
      <c r="Q459" s="72"/>
      <c r="R459" s="72"/>
      <c r="S459" s="5"/>
    </row>
    <row r="460" customFormat="false" ht="27.75" hidden="false" customHeight="true" outlineLevel="0" collapsed="false">
      <c r="A460" s="13"/>
      <c r="B460" s="63"/>
      <c r="C460" s="64" t="str">
        <f aca="false">IF(B460="","",TEXT(B460,"DDD"))</f>
        <v/>
      </c>
      <c r="D460" s="32"/>
      <c r="E460" s="32"/>
      <c r="F460" s="33"/>
      <c r="G460" s="65"/>
      <c r="H460" s="32"/>
      <c r="I460" s="66" t="n">
        <v>0</v>
      </c>
      <c r="J460" s="67"/>
      <c r="K460" s="68"/>
      <c r="L460" s="68"/>
      <c r="M460" s="68"/>
      <c r="N460" s="68"/>
      <c r="O460" s="68"/>
      <c r="P460" s="33"/>
      <c r="Q460" s="68"/>
      <c r="R460" s="68"/>
      <c r="S460" s="13"/>
    </row>
    <row r="461" customFormat="false" ht="27.75" hidden="false" customHeight="true" outlineLevel="0" collapsed="false">
      <c r="A461" s="5"/>
      <c r="B461" s="69"/>
      <c r="C461" s="64" t="str">
        <f aca="false">IF(B461="","",TEXT(B461,"DDD"))</f>
        <v/>
      </c>
      <c r="D461" s="36"/>
      <c r="E461" s="36"/>
      <c r="F461" s="4"/>
      <c r="G461" s="70"/>
      <c r="H461" s="36"/>
      <c r="I461" s="66" t="n">
        <v>0</v>
      </c>
      <c r="J461" s="71"/>
      <c r="K461" s="72"/>
      <c r="L461" s="72"/>
      <c r="M461" s="72"/>
      <c r="N461" s="72"/>
      <c r="O461" s="72"/>
      <c r="P461" s="4"/>
      <c r="Q461" s="72"/>
      <c r="R461" s="72"/>
      <c r="S461" s="5"/>
    </row>
    <row r="462" customFormat="false" ht="27.75" hidden="false" customHeight="true" outlineLevel="0" collapsed="false">
      <c r="A462" s="13"/>
      <c r="B462" s="63"/>
      <c r="C462" s="64" t="str">
        <f aca="false">IF(B462="","",TEXT(B462,"DDD"))</f>
        <v/>
      </c>
      <c r="D462" s="32"/>
      <c r="E462" s="32"/>
      <c r="F462" s="33"/>
      <c r="G462" s="65"/>
      <c r="H462" s="32"/>
      <c r="I462" s="66" t="n">
        <v>0</v>
      </c>
      <c r="J462" s="67"/>
      <c r="K462" s="68"/>
      <c r="L462" s="68"/>
      <c r="M462" s="68"/>
      <c r="N462" s="68"/>
      <c r="O462" s="68"/>
      <c r="P462" s="33"/>
      <c r="Q462" s="68"/>
      <c r="R462" s="68"/>
      <c r="S462" s="13"/>
    </row>
    <row r="463" customFormat="false" ht="27.75" hidden="false" customHeight="true" outlineLevel="0" collapsed="false">
      <c r="A463" s="5"/>
      <c r="B463" s="69"/>
      <c r="C463" s="64" t="str">
        <f aca="false">IF(B463="","",TEXT(B463,"DDD"))</f>
        <v/>
      </c>
      <c r="D463" s="36"/>
      <c r="E463" s="36"/>
      <c r="F463" s="4"/>
      <c r="G463" s="70"/>
      <c r="H463" s="36"/>
      <c r="I463" s="66" t="n">
        <v>0</v>
      </c>
      <c r="J463" s="71"/>
      <c r="K463" s="72"/>
      <c r="L463" s="72"/>
      <c r="M463" s="72"/>
      <c r="N463" s="72"/>
      <c r="O463" s="72"/>
      <c r="P463" s="4"/>
      <c r="Q463" s="72"/>
      <c r="R463" s="72"/>
      <c r="S463" s="5"/>
    </row>
    <row r="464" customFormat="false" ht="27.75" hidden="false" customHeight="true" outlineLevel="0" collapsed="false">
      <c r="A464" s="13"/>
      <c r="B464" s="63"/>
      <c r="C464" s="64" t="str">
        <f aca="false">IF(B464="","",TEXT(B464,"DDD"))</f>
        <v/>
      </c>
      <c r="D464" s="32"/>
      <c r="E464" s="32"/>
      <c r="F464" s="33"/>
      <c r="G464" s="65"/>
      <c r="H464" s="32"/>
      <c r="I464" s="66" t="n">
        <v>0</v>
      </c>
      <c r="J464" s="67"/>
      <c r="K464" s="68"/>
      <c r="L464" s="68"/>
      <c r="M464" s="68"/>
      <c r="N464" s="68"/>
      <c r="O464" s="68"/>
      <c r="P464" s="33"/>
      <c r="Q464" s="68"/>
      <c r="R464" s="68"/>
      <c r="S464" s="13"/>
    </row>
    <row r="465" customFormat="false" ht="27.75" hidden="false" customHeight="true" outlineLevel="0" collapsed="false">
      <c r="A465" s="5"/>
      <c r="B465" s="69"/>
      <c r="C465" s="64" t="str">
        <f aca="false">IF(B465="","",TEXT(B465,"DDD"))</f>
        <v/>
      </c>
      <c r="D465" s="36"/>
      <c r="E465" s="36"/>
      <c r="F465" s="4"/>
      <c r="G465" s="70"/>
      <c r="H465" s="36"/>
      <c r="I465" s="66" t="n">
        <v>0</v>
      </c>
      <c r="J465" s="71"/>
      <c r="K465" s="72"/>
      <c r="L465" s="72"/>
      <c r="M465" s="72"/>
      <c r="N465" s="72"/>
      <c r="O465" s="72"/>
      <c r="P465" s="4"/>
      <c r="Q465" s="72"/>
      <c r="R465" s="72"/>
      <c r="S465" s="5"/>
    </row>
    <row r="466" customFormat="false" ht="27.75" hidden="false" customHeight="true" outlineLevel="0" collapsed="false">
      <c r="A466" s="13"/>
      <c r="B466" s="63"/>
      <c r="C466" s="64" t="str">
        <f aca="false">IF(B466="","",TEXT(B466,"DDD"))</f>
        <v/>
      </c>
      <c r="D466" s="32"/>
      <c r="E466" s="32"/>
      <c r="F466" s="33"/>
      <c r="G466" s="65"/>
      <c r="H466" s="32"/>
      <c r="I466" s="66" t="n">
        <v>0</v>
      </c>
      <c r="J466" s="67"/>
      <c r="K466" s="68"/>
      <c r="L466" s="68"/>
      <c r="M466" s="68"/>
      <c r="N466" s="68"/>
      <c r="O466" s="68"/>
      <c r="P466" s="33"/>
      <c r="Q466" s="68"/>
      <c r="R466" s="68"/>
      <c r="S466" s="13"/>
    </row>
    <row r="467" customFormat="false" ht="27.75" hidden="false" customHeight="true" outlineLevel="0" collapsed="false">
      <c r="A467" s="5"/>
      <c r="B467" s="69"/>
      <c r="C467" s="64" t="str">
        <f aca="false">IF(B467="","",TEXT(B467,"DDD"))</f>
        <v/>
      </c>
      <c r="D467" s="36"/>
      <c r="E467" s="36"/>
      <c r="F467" s="4"/>
      <c r="G467" s="70"/>
      <c r="H467" s="36"/>
      <c r="I467" s="66" t="n">
        <v>0</v>
      </c>
      <c r="J467" s="71"/>
      <c r="K467" s="72"/>
      <c r="L467" s="72"/>
      <c r="M467" s="72"/>
      <c r="N467" s="72"/>
      <c r="O467" s="72"/>
      <c r="P467" s="4"/>
      <c r="Q467" s="72"/>
      <c r="R467" s="72"/>
      <c r="S467" s="5"/>
    </row>
    <row r="468" customFormat="false" ht="27.75" hidden="false" customHeight="true" outlineLevel="0" collapsed="false">
      <c r="A468" s="13"/>
      <c r="B468" s="63"/>
      <c r="C468" s="64" t="str">
        <f aca="false">IF(B468="","",TEXT(B468,"DDD"))</f>
        <v/>
      </c>
      <c r="D468" s="32"/>
      <c r="E468" s="32"/>
      <c r="F468" s="33"/>
      <c r="G468" s="65"/>
      <c r="H468" s="32"/>
      <c r="I468" s="66" t="n">
        <v>0</v>
      </c>
      <c r="J468" s="67"/>
      <c r="K468" s="68"/>
      <c r="L468" s="68"/>
      <c r="M468" s="68"/>
      <c r="N468" s="68"/>
      <c r="O468" s="68"/>
      <c r="P468" s="33"/>
      <c r="Q468" s="68"/>
      <c r="R468" s="68"/>
      <c r="S468" s="13"/>
    </row>
    <row r="469" customFormat="false" ht="27.75" hidden="false" customHeight="true" outlineLevel="0" collapsed="false">
      <c r="A469" s="5"/>
      <c r="B469" s="69"/>
      <c r="C469" s="64" t="str">
        <f aca="false">IF(B469="","",TEXT(B469,"DDD"))</f>
        <v/>
      </c>
      <c r="D469" s="36"/>
      <c r="E469" s="36"/>
      <c r="F469" s="4"/>
      <c r="G469" s="70"/>
      <c r="H469" s="36"/>
      <c r="I469" s="66" t="n">
        <v>0</v>
      </c>
      <c r="J469" s="71"/>
      <c r="K469" s="72"/>
      <c r="L469" s="72"/>
      <c r="M469" s="72"/>
      <c r="N469" s="72"/>
      <c r="O469" s="72"/>
      <c r="P469" s="4"/>
      <c r="Q469" s="72"/>
      <c r="R469" s="72"/>
      <c r="S469" s="5"/>
    </row>
    <row r="470" customFormat="false" ht="27.75" hidden="false" customHeight="true" outlineLevel="0" collapsed="false">
      <c r="A470" s="13"/>
      <c r="B470" s="63"/>
      <c r="C470" s="64" t="str">
        <f aca="false">IF(B470="","",TEXT(B470,"DDD"))</f>
        <v/>
      </c>
      <c r="D470" s="32"/>
      <c r="E470" s="32"/>
      <c r="F470" s="33"/>
      <c r="G470" s="65"/>
      <c r="H470" s="32"/>
      <c r="I470" s="66" t="n">
        <v>0</v>
      </c>
      <c r="J470" s="67"/>
      <c r="K470" s="68"/>
      <c r="L470" s="68"/>
      <c r="M470" s="68"/>
      <c r="N470" s="68"/>
      <c r="O470" s="68"/>
      <c r="P470" s="33"/>
      <c r="Q470" s="68"/>
      <c r="R470" s="68"/>
      <c r="S470" s="13"/>
    </row>
    <row r="471" customFormat="false" ht="27.75" hidden="false" customHeight="true" outlineLevel="0" collapsed="false">
      <c r="A471" s="5"/>
      <c r="B471" s="69"/>
      <c r="C471" s="64" t="str">
        <f aca="false">IF(B471="","",TEXT(B471,"DDD"))</f>
        <v/>
      </c>
      <c r="D471" s="36"/>
      <c r="E471" s="36"/>
      <c r="F471" s="4"/>
      <c r="G471" s="70"/>
      <c r="H471" s="36"/>
      <c r="I471" s="66" t="n">
        <v>0</v>
      </c>
      <c r="J471" s="71"/>
      <c r="K471" s="72"/>
      <c r="L471" s="72"/>
      <c r="M471" s="72"/>
      <c r="N471" s="72"/>
      <c r="O471" s="72"/>
      <c r="P471" s="4"/>
      <c r="Q471" s="72"/>
      <c r="R471" s="72"/>
      <c r="S471" s="5"/>
    </row>
    <row r="472" customFormat="false" ht="27.75" hidden="false" customHeight="true" outlineLevel="0" collapsed="false">
      <c r="A472" s="13"/>
      <c r="B472" s="63"/>
      <c r="C472" s="64" t="str">
        <f aca="false">IF(B472="","",TEXT(B472,"DDD"))</f>
        <v/>
      </c>
      <c r="D472" s="32"/>
      <c r="E472" s="32"/>
      <c r="F472" s="33"/>
      <c r="G472" s="65"/>
      <c r="H472" s="32"/>
      <c r="I472" s="66" t="n">
        <v>0</v>
      </c>
      <c r="J472" s="67"/>
      <c r="K472" s="68"/>
      <c r="L472" s="68"/>
      <c r="M472" s="68"/>
      <c r="N472" s="68"/>
      <c r="O472" s="68"/>
      <c r="P472" s="33"/>
      <c r="Q472" s="68"/>
      <c r="R472" s="68"/>
      <c r="S472" s="13"/>
    </row>
    <row r="473" customFormat="false" ht="27.75" hidden="false" customHeight="true" outlineLevel="0" collapsed="false">
      <c r="A473" s="5"/>
      <c r="B473" s="69"/>
      <c r="C473" s="64" t="str">
        <f aca="false">IF(B473="","",TEXT(B473,"DDD"))</f>
        <v/>
      </c>
      <c r="D473" s="36"/>
      <c r="E473" s="36"/>
      <c r="F473" s="4"/>
      <c r="G473" s="70"/>
      <c r="H473" s="36"/>
      <c r="I473" s="66" t="n">
        <v>0</v>
      </c>
      <c r="J473" s="71"/>
      <c r="K473" s="72"/>
      <c r="L473" s="72"/>
      <c r="M473" s="72"/>
      <c r="N473" s="72"/>
      <c r="O473" s="72"/>
      <c r="P473" s="4"/>
      <c r="Q473" s="72"/>
      <c r="R473" s="72"/>
      <c r="S473" s="5"/>
    </row>
    <row r="474" customFormat="false" ht="27.75" hidden="false" customHeight="true" outlineLevel="0" collapsed="false">
      <c r="A474" s="13"/>
      <c r="B474" s="63"/>
      <c r="C474" s="64" t="str">
        <f aca="false">IF(B474="","",TEXT(B474,"DDD"))</f>
        <v/>
      </c>
      <c r="D474" s="32"/>
      <c r="E474" s="32"/>
      <c r="F474" s="33"/>
      <c r="G474" s="65"/>
      <c r="H474" s="32"/>
      <c r="I474" s="66" t="n">
        <v>0</v>
      </c>
      <c r="J474" s="67"/>
      <c r="K474" s="68"/>
      <c r="L474" s="68"/>
      <c r="M474" s="68"/>
      <c r="N474" s="68"/>
      <c r="O474" s="68"/>
      <c r="P474" s="33"/>
      <c r="Q474" s="68"/>
      <c r="R474" s="68"/>
      <c r="S474" s="13"/>
    </row>
    <row r="475" customFormat="false" ht="27.75" hidden="false" customHeight="true" outlineLevel="0" collapsed="false">
      <c r="A475" s="5"/>
      <c r="B475" s="69"/>
      <c r="C475" s="64" t="str">
        <f aca="false">IF(B475="","",TEXT(B475,"DDD"))</f>
        <v/>
      </c>
      <c r="D475" s="36"/>
      <c r="E475" s="36"/>
      <c r="F475" s="4"/>
      <c r="G475" s="70"/>
      <c r="H475" s="36"/>
      <c r="I475" s="66" t="n">
        <v>0</v>
      </c>
      <c r="J475" s="71"/>
      <c r="K475" s="72"/>
      <c r="L475" s="72"/>
      <c r="M475" s="72"/>
      <c r="N475" s="72"/>
      <c r="O475" s="72"/>
      <c r="P475" s="4"/>
      <c r="Q475" s="72"/>
      <c r="R475" s="72"/>
      <c r="S475" s="5"/>
    </row>
    <row r="476" customFormat="false" ht="27.75" hidden="false" customHeight="true" outlineLevel="0" collapsed="false">
      <c r="A476" s="13"/>
      <c r="B476" s="63"/>
      <c r="C476" s="64" t="str">
        <f aca="false">IF(B476="","",TEXT(B476,"DDD"))</f>
        <v/>
      </c>
      <c r="D476" s="32"/>
      <c r="E476" s="32"/>
      <c r="F476" s="33"/>
      <c r="G476" s="65"/>
      <c r="H476" s="32"/>
      <c r="I476" s="66" t="n">
        <v>0</v>
      </c>
      <c r="J476" s="67"/>
      <c r="K476" s="68"/>
      <c r="L476" s="68"/>
      <c r="M476" s="68"/>
      <c r="N476" s="68"/>
      <c r="O476" s="68"/>
      <c r="P476" s="33"/>
      <c r="Q476" s="68"/>
      <c r="R476" s="68"/>
      <c r="S476" s="13"/>
    </row>
    <row r="477" customFormat="false" ht="27.75" hidden="false" customHeight="true" outlineLevel="0" collapsed="false">
      <c r="A477" s="5"/>
      <c r="B477" s="69"/>
      <c r="C477" s="64" t="str">
        <f aca="false">IF(B477="","",TEXT(B477,"DDD"))</f>
        <v/>
      </c>
      <c r="D477" s="36"/>
      <c r="E477" s="36"/>
      <c r="F477" s="4"/>
      <c r="G477" s="70"/>
      <c r="H477" s="36"/>
      <c r="I477" s="66" t="n">
        <v>0</v>
      </c>
      <c r="J477" s="71"/>
      <c r="K477" s="72"/>
      <c r="L477" s="72"/>
      <c r="M477" s="72"/>
      <c r="N477" s="72"/>
      <c r="O477" s="72"/>
      <c r="P477" s="4"/>
      <c r="Q477" s="72"/>
      <c r="R477" s="72"/>
      <c r="S477" s="5"/>
    </row>
    <row r="478" customFormat="false" ht="27.75" hidden="false" customHeight="true" outlineLevel="0" collapsed="false">
      <c r="A478" s="13"/>
      <c r="B478" s="63"/>
      <c r="C478" s="64" t="str">
        <f aca="false">IF(B478="","",TEXT(B478,"DDD"))</f>
        <v/>
      </c>
      <c r="D478" s="32"/>
      <c r="E478" s="32"/>
      <c r="F478" s="33"/>
      <c r="G478" s="65"/>
      <c r="H478" s="32"/>
      <c r="I478" s="66" t="n">
        <v>0</v>
      </c>
      <c r="J478" s="67"/>
      <c r="K478" s="68"/>
      <c r="L478" s="68"/>
      <c r="M478" s="68"/>
      <c r="N478" s="68"/>
      <c r="O478" s="68"/>
      <c r="P478" s="33"/>
      <c r="Q478" s="68"/>
      <c r="R478" s="68"/>
      <c r="S478" s="13"/>
    </row>
    <row r="479" customFormat="false" ht="27.75" hidden="false" customHeight="true" outlineLevel="0" collapsed="false">
      <c r="A479" s="5"/>
      <c r="B479" s="69"/>
      <c r="C479" s="64" t="str">
        <f aca="false">IF(B479="","",TEXT(B479,"DDD"))</f>
        <v/>
      </c>
      <c r="D479" s="36"/>
      <c r="E479" s="36"/>
      <c r="F479" s="4"/>
      <c r="G479" s="70"/>
      <c r="H479" s="36"/>
      <c r="I479" s="66" t="n">
        <v>0</v>
      </c>
      <c r="J479" s="71"/>
      <c r="K479" s="72"/>
      <c r="L479" s="72"/>
      <c r="M479" s="72"/>
      <c r="N479" s="72"/>
      <c r="O479" s="72"/>
      <c r="P479" s="4"/>
      <c r="Q479" s="72"/>
      <c r="R479" s="72"/>
      <c r="S479" s="5"/>
    </row>
    <row r="480" customFormat="false" ht="27.75" hidden="false" customHeight="true" outlineLevel="0" collapsed="false">
      <c r="A480" s="13"/>
      <c r="B480" s="63"/>
      <c r="C480" s="64" t="str">
        <f aca="false">IF(B480="","",TEXT(B480,"DDD"))</f>
        <v/>
      </c>
      <c r="D480" s="32"/>
      <c r="E480" s="32"/>
      <c r="F480" s="33"/>
      <c r="G480" s="65"/>
      <c r="H480" s="32"/>
      <c r="I480" s="66" t="n">
        <v>0</v>
      </c>
      <c r="J480" s="67"/>
      <c r="K480" s="68"/>
      <c r="L480" s="68"/>
      <c r="M480" s="68"/>
      <c r="N480" s="68"/>
      <c r="O480" s="68"/>
      <c r="P480" s="33"/>
      <c r="Q480" s="68"/>
      <c r="R480" s="68"/>
      <c r="S480" s="13"/>
    </row>
    <row r="481" customFormat="false" ht="27.75" hidden="false" customHeight="true" outlineLevel="0" collapsed="false">
      <c r="A481" s="5"/>
      <c r="B481" s="69"/>
      <c r="C481" s="64" t="str">
        <f aca="false">IF(B481="","",TEXT(B481,"DDD"))</f>
        <v/>
      </c>
      <c r="D481" s="36"/>
      <c r="E481" s="36"/>
      <c r="F481" s="4"/>
      <c r="G481" s="70"/>
      <c r="H481" s="36"/>
      <c r="I481" s="66" t="n">
        <v>0</v>
      </c>
      <c r="J481" s="71"/>
      <c r="K481" s="72"/>
      <c r="L481" s="72"/>
      <c r="M481" s="72"/>
      <c r="N481" s="72"/>
      <c r="O481" s="72"/>
      <c r="P481" s="4"/>
      <c r="Q481" s="72"/>
      <c r="R481" s="72"/>
      <c r="S481" s="5"/>
    </row>
    <row r="482" customFormat="false" ht="27.75" hidden="false" customHeight="true" outlineLevel="0" collapsed="false">
      <c r="A482" s="13"/>
      <c r="B482" s="63"/>
      <c r="C482" s="64" t="str">
        <f aca="false">IF(B482="","",TEXT(B482,"DDD"))</f>
        <v/>
      </c>
      <c r="D482" s="32"/>
      <c r="E482" s="32"/>
      <c r="F482" s="33"/>
      <c r="G482" s="65"/>
      <c r="H482" s="32"/>
      <c r="I482" s="66" t="n">
        <v>0</v>
      </c>
      <c r="J482" s="67"/>
      <c r="K482" s="68"/>
      <c r="L482" s="68"/>
      <c r="M482" s="68"/>
      <c r="N482" s="68"/>
      <c r="O482" s="68"/>
      <c r="P482" s="33"/>
      <c r="Q482" s="68"/>
      <c r="R482" s="68"/>
      <c r="S482" s="13"/>
    </row>
    <row r="483" customFormat="false" ht="27.75" hidden="false" customHeight="true" outlineLevel="0" collapsed="false">
      <c r="A483" s="5"/>
      <c r="B483" s="69"/>
      <c r="C483" s="64" t="str">
        <f aca="false">IF(B483="","",TEXT(B483,"DDD"))</f>
        <v/>
      </c>
      <c r="D483" s="36"/>
      <c r="E483" s="36"/>
      <c r="F483" s="4"/>
      <c r="G483" s="70"/>
      <c r="H483" s="36"/>
      <c r="I483" s="66" t="n">
        <v>0</v>
      </c>
      <c r="J483" s="71"/>
      <c r="K483" s="72"/>
      <c r="L483" s="72"/>
      <c r="M483" s="72"/>
      <c r="N483" s="72"/>
      <c r="O483" s="72"/>
      <c r="P483" s="4"/>
      <c r="Q483" s="72"/>
      <c r="R483" s="72"/>
      <c r="S483" s="5"/>
    </row>
    <row r="484" customFormat="false" ht="27.75" hidden="false" customHeight="true" outlineLevel="0" collapsed="false">
      <c r="A484" s="13"/>
      <c r="B484" s="63"/>
      <c r="C484" s="64" t="str">
        <f aca="false">IF(B484="","",TEXT(B484,"DDD"))</f>
        <v/>
      </c>
      <c r="D484" s="32"/>
      <c r="E484" s="32"/>
      <c r="F484" s="33"/>
      <c r="G484" s="65"/>
      <c r="H484" s="32"/>
      <c r="I484" s="66" t="n">
        <v>0</v>
      </c>
      <c r="J484" s="67"/>
      <c r="K484" s="68"/>
      <c r="L484" s="68"/>
      <c r="M484" s="68"/>
      <c r="N484" s="68"/>
      <c r="O484" s="68"/>
      <c r="P484" s="33"/>
      <c r="Q484" s="68"/>
      <c r="R484" s="68"/>
      <c r="S484" s="13"/>
    </row>
    <row r="485" customFormat="false" ht="27.75" hidden="false" customHeight="true" outlineLevel="0" collapsed="false">
      <c r="A485" s="5"/>
      <c r="B485" s="69"/>
      <c r="C485" s="64" t="str">
        <f aca="false">IF(B485="","",TEXT(B485,"DDD"))</f>
        <v/>
      </c>
      <c r="D485" s="36"/>
      <c r="E485" s="36"/>
      <c r="F485" s="4"/>
      <c r="G485" s="70"/>
      <c r="H485" s="36"/>
      <c r="I485" s="66" t="n">
        <v>0</v>
      </c>
      <c r="J485" s="71"/>
      <c r="K485" s="72"/>
      <c r="L485" s="72"/>
      <c r="M485" s="72"/>
      <c r="N485" s="72"/>
      <c r="O485" s="72"/>
      <c r="P485" s="4"/>
      <c r="Q485" s="72"/>
      <c r="R485" s="72"/>
      <c r="S485" s="5"/>
    </row>
    <row r="486" customFormat="false" ht="27.75" hidden="false" customHeight="true" outlineLevel="0" collapsed="false">
      <c r="A486" s="13"/>
      <c r="B486" s="63"/>
      <c r="C486" s="64" t="str">
        <f aca="false">IF(B486="","",TEXT(B486,"DDD"))</f>
        <v/>
      </c>
      <c r="D486" s="32"/>
      <c r="E486" s="32"/>
      <c r="F486" s="33"/>
      <c r="G486" s="65"/>
      <c r="H486" s="32"/>
      <c r="I486" s="66" t="n">
        <v>0</v>
      </c>
      <c r="J486" s="67"/>
      <c r="K486" s="68"/>
      <c r="L486" s="68"/>
      <c r="M486" s="68"/>
      <c r="N486" s="68"/>
      <c r="O486" s="68"/>
      <c r="P486" s="33"/>
      <c r="Q486" s="68"/>
      <c r="R486" s="68"/>
      <c r="S486" s="13"/>
    </row>
    <row r="487" customFormat="false" ht="27.75" hidden="false" customHeight="true" outlineLevel="0" collapsed="false">
      <c r="A487" s="5"/>
      <c r="B487" s="69"/>
      <c r="C487" s="64" t="str">
        <f aca="false">IF(B487="","",TEXT(B487,"DDD"))</f>
        <v/>
      </c>
      <c r="D487" s="36"/>
      <c r="E487" s="36"/>
      <c r="F487" s="4"/>
      <c r="G487" s="70"/>
      <c r="H487" s="36"/>
      <c r="I487" s="66" t="n">
        <v>0</v>
      </c>
      <c r="J487" s="71"/>
      <c r="K487" s="72"/>
      <c r="L487" s="72"/>
      <c r="M487" s="72"/>
      <c r="N487" s="72"/>
      <c r="O487" s="72"/>
      <c r="P487" s="4"/>
      <c r="Q487" s="72"/>
      <c r="R487" s="72"/>
      <c r="S487" s="5"/>
    </row>
    <row r="488" customFormat="false" ht="27.75" hidden="false" customHeight="true" outlineLevel="0" collapsed="false">
      <c r="A488" s="13"/>
      <c r="B488" s="63"/>
      <c r="C488" s="64" t="str">
        <f aca="false">IF(B488="","",TEXT(B488,"DDD"))</f>
        <v/>
      </c>
      <c r="D488" s="32"/>
      <c r="E488" s="32"/>
      <c r="F488" s="33"/>
      <c r="G488" s="65"/>
      <c r="H488" s="32"/>
      <c r="I488" s="66" t="n">
        <v>0</v>
      </c>
      <c r="J488" s="67"/>
      <c r="K488" s="68"/>
      <c r="L488" s="68"/>
      <c r="M488" s="68"/>
      <c r="N488" s="68"/>
      <c r="O488" s="68"/>
      <c r="P488" s="33"/>
      <c r="Q488" s="68"/>
      <c r="R488" s="68"/>
      <c r="S488" s="13"/>
    </row>
    <row r="489" customFormat="false" ht="27.75" hidden="false" customHeight="true" outlineLevel="0" collapsed="false">
      <c r="A489" s="5"/>
      <c r="B489" s="69"/>
      <c r="C489" s="64" t="str">
        <f aca="false">IF(B489="","",TEXT(B489,"DDD"))</f>
        <v/>
      </c>
      <c r="D489" s="36"/>
      <c r="E489" s="36"/>
      <c r="F489" s="4"/>
      <c r="G489" s="70"/>
      <c r="H489" s="36"/>
      <c r="I489" s="66" t="n">
        <v>0</v>
      </c>
      <c r="J489" s="71"/>
      <c r="K489" s="72"/>
      <c r="L489" s="72"/>
      <c r="M489" s="72"/>
      <c r="N489" s="72"/>
      <c r="O489" s="72"/>
      <c r="P489" s="4"/>
      <c r="Q489" s="72"/>
      <c r="R489" s="72"/>
      <c r="S489" s="5"/>
    </row>
    <row r="490" customFormat="false" ht="27.75" hidden="false" customHeight="true" outlineLevel="0" collapsed="false">
      <c r="A490" s="13"/>
      <c r="B490" s="63"/>
      <c r="C490" s="64" t="str">
        <f aca="false">IF(B490="","",TEXT(B490,"DDD"))</f>
        <v/>
      </c>
      <c r="D490" s="32"/>
      <c r="E490" s="32"/>
      <c r="F490" s="33"/>
      <c r="G490" s="65"/>
      <c r="H490" s="32"/>
      <c r="I490" s="66" t="n">
        <v>0</v>
      </c>
      <c r="J490" s="67"/>
      <c r="K490" s="68"/>
      <c r="L490" s="68"/>
      <c r="M490" s="68"/>
      <c r="N490" s="68"/>
      <c r="O490" s="68"/>
      <c r="P490" s="33"/>
      <c r="Q490" s="68"/>
      <c r="R490" s="68"/>
      <c r="S490" s="13"/>
    </row>
    <row r="491" customFormat="false" ht="27.75" hidden="false" customHeight="true" outlineLevel="0" collapsed="false">
      <c r="A491" s="5"/>
      <c r="B491" s="69"/>
      <c r="C491" s="64" t="str">
        <f aca="false">IF(B491="","",TEXT(B491,"DDD"))</f>
        <v/>
      </c>
      <c r="D491" s="36"/>
      <c r="E491" s="36"/>
      <c r="F491" s="4"/>
      <c r="G491" s="70"/>
      <c r="H491" s="36"/>
      <c r="I491" s="66" t="n">
        <v>0</v>
      </c>
      <c r="J491" s="71"/>
      <c r="K491" s="72"/>
      <c r="L491" s="72"/>
      <c r="M491" s="72"/>
      <c r="N491" s="72"/>
      <c r="O491" s="72"/>
      <c r="P491" s="4"/>
      <c r="Q491" s="72"/>
      <c r="R491" s="72"/>
      <c r="S491" s="5"/>
    </row>
    <row r="492" customFormat="false" ht="27.75" hidden="false" customHeight="true" outlineLevel="0" collapsed="false">
      <c r="A492" s="13"/>
      <c r="B492" s="63"/>
      <c r="C492" s="64" t="str">
        <f aca="false">IF(B492="","",TEXT(B492,"DDD"))</f>
        <v/>
      </c>
      <c r="D492" s="32"/>
      <c r="E492" s="32"/>
      <c r="F492" s="33"/>
      <c r="G492" s="65"/>
      <c r="H492" s="32"/>
      <c r="I492" s="66" t="n">
        <v>0</v>
      </c>
      <c r="J492" s="67"/>
      <c r="K492" s="68"/>
      <c r="L492" s="68"/>
      <c r="M492" s="68"/>
      <c r="N492" s="68"/>
      <c r="O492" s="68"/>
      <c r="P492" s="33"/>
      <c r="Q492" s="68"/>
      <c r="R492" s="68"/>
      <c r="S492" s="13"/>
    </row>
    <row r="493" customFormat="false" ht="27.75" hidden="false" customHeight="true" outlineLevel="0" collapsed="false">
      <c r="A493" s="5"/>
      <c r="B493" s="69"/>
      <c r="C493" s="64" t="str">
        <f aca="false">IF(B493="","",TEXT(B493,"DDD"))</f>
        <v/>
      </c>
      <c r="D493" s="36"/>
      <c r="E493" s="36"/>
      <c r="F493" s="4"/>
      <c r="G493" s="70"/>
      <c r="H493" s="36"/>
      <c r="I493" s="66" t="n">
        <v>0</v>
      </c>
      <c r="J493" s="71"/>
      <c r="K493" s="72"/>
      <c r="L493" s="72"/>
      <c r="M493" s="72"/>
      <c r="N493" s="72"/>
      <c r="O493" s="72"/>
      <c r="P493" s="4"/>
      <c r="Q493" s="72"/>
      <c r="R493" s="72"/>
      <c r="S493" s="5"/>
    </row>
    <row r="494" customFormat="false" ht="27.75" hidden="false" customHeight="true" outlineLevel="0" collapsed="false">
      <c r="A494" s="13"/>
      <c r="B494" s="63"/>
      <c r="C494" s="64" t="str">
        <f aca="false">IF(B494="","",TEXT(B494,"DDD"))</f>
        <v/>
      </c>
      <c r="D494" s="32"/>
      <c r="E494" s="32"/>
      <c r="F494" s="33"/>
      <c r="G494" s="65"/>
      <c r="H494" s="32"/>
      <c r="I494" s="66" t="n">
        <v>0</v>
      </c>
      <c r="J494" s="67"/>
      <c r="K494" s="68"/>
      <c r="L494" s="68"/>
      <c r="M494" s="68"/>
      <c r="N494" s="68"/>
      <c r="O494" s="68"/>
      <c r="P494" s="33"/>
      <c r="Q494" s="68"/>
      <c r="R494" s="68"/>
      <c r="S494" s="13"/>
    </row>
    <row r="495" customFormat="false" ht="27.75" hidden="false" customHeight="true" outlineLevel="0" collapsed="false">
      <c r="A495" s="5"/>
      <c r="B495" s="69"/>
      <c r="C495" s="64" t="str">
        <f aca="false">IF(B495="","",TEXT(B495,"DDD"))</f>
        <v/>
      </c>
      <c r="D495" s="36"/>
      <c r="E495" s="36"/>
      <c r="F495" s="4"/>
      <c r="G495" s="70"/>
      <c r="H495" s="36"/>
      <c r="I495" s="66" t="n">
        <v>0</v>
      </c>
      <c r="J495" s="71"/>
      <c r="K495" s="72"/>
      <c r="L495" s="72"/>
      <c r="M495" s="72"/>
      <c r="N495" s="72"/>
      <c r="O495" s="72"/>
      <c r="P495" s="4"/>
      <c r="Q495" s="72"/>
      <c r="R495" s="72"/>
      <c r="S495" s="5"/>
    </row>
    <row r="496" customFormat="false" ht="27.75" hidden="false" customHeight="true" outlineLevel="0" collapsed="false">
      <c r="A496" s="13"/>
      <c r="B496" s="63"/>
      <c r="C496" s="64" t="str">
        <f aca="false">IF(B496="","",TEXT(B496,"DDD"))</f>
        <v/>
      </c>
      <c r="D496" s="32"/>
      <c r="E496" s="32"/>
      <c r="F496" s="33"/>
      <c r="G496" s="65"/>
      <c r="H496" s="32"/>
      <c r="I496" s="66" t="n">
        <v>0</v>
      </c>
      <c r="J496" s="67"/>
      <c r="K496" s="68"/>
      <c r="L496" s="68"/>
      <c r="M496" s="68"/>
      <c r="N496" s="68"/>
      <c r="O496" s="68"/>
      <c r="P496" s="33"/>
      <c r="Q496" s="68"/>
      <c r="R496" s="68"/>
      <c r="S496" s="13"/>
    </row>
    <row r="497" customFormat="false" ht="27.75" hidden="false" customHeight="true" outlineLevel="0" collapsed="false">
      <c r="A497" s="5"/>
      <c r="B497" s="69"/>
      <c r="C497" s="64" t="str">
        <f aca="false">IF(B497="","",TEXT(B497,"DDD"))</f>
        <v/>
      </c>
      <c r="D497" s="36"/>
      <c r="E497" s="36"/>
      <c r="F497" s="4"/>
      <c r="G497" s="70"/>
      <c r="H497" s="36"/>
      <c r="I497" s="66" t="n">
        <v>0</v>
      </c>
      <c r="J497" s="71"/>
      <c r="K497" s="72"/>
      <c r="L497" s="72"/>
      <c r="M497" s="72"/>
      <c r="N497" s="72"/>
      <c r="O497" s="72"/>
      <c r="P497" s="4"/>
      <c r="Q497" s="72"/>
      <c r="R497" s="72"/>
      <c r="S497" s="5"/>
    </row>
    <row r="498" customFormat="false" ht="27.75" hidden="false" customHeight="true" outlineLevel="0" collapsed="false">
      <c r="A498" s="13"/>
      <c r="B498" s="63"/>
      <c r="C498" s="64" t="str">
        <f aca="false">IF(B498="","",TEXT(B498,"DDD"))</f>
        <v/>
      </c>
      <c r="D498" s="32"/>
      <c r="E498" s="32"/>
      <c r="F498" s="33"/>
      <c r="G498" s="65"/>
      <c r="H498" s="32"/>
      <c r="I498" s="66" t="n">
        <v>0</v>
      </c>
      <c r="J498" s="67"/>
      <c r="K498" s="68"/>
      <c r="L498" s="68"/>
      <c r="M498" s="68"/>
      <c r="N498" s="68"/>
      <c r="O498" s="68"/>
      <c r="P498" s="33"/>
      <c r="Q498" s="68"/>
      <c r="R498" s="68"/>
      <c r="S498" s="13"/>
    </row>
    <row r="499" customFormat="false" ht="27.75" hidden="false" customHeight="true" outlineLevel="0" collapsed="false">
      <c r="A499" s="5"/>
      <c r="B499" s="69"/>
      <c r="C499" s="64" t="str">
        <f aca="false">IF(B499="","",TEXT(B499,"DDD"))</f>
        <v/>
      </c>
      <c r="D499" s="36"/>
      <c r="E499" s="36"/>
      <c r="F499" s="4"/>
      <c r="G499" s="70"/>
      <c r="H499" s="36"/>
      <c r="I499" s="66" t="n">
        <v>0</v>
      </c>
      <c r="J499" s="71"/>
      <c r="K499" s="72"/>
      <c r="L499" s="72"/>
      <c r="M499" s="72"/>
      <c r="N499" s="72"/>
      <c r="O499" s="72"/>
      <c r="P499" s="4"/>
      <c r="Q499" s="72"/>
      <c r="R499" s="72"/>
      <c r="S499" s="5"/>
    </row>
    <row r="500" customFormat="false" ht="27.75" hidden="false" customHeight="true" outlineLevel="0" collapsed="false">
      <c r="A500" s="13"/>
      <c r="B500" s="63"/>
      <c r="C500" s="64" t="str">
        <f aca="false">IF(B500="","",TEXT(B500,"DDD"))</f>
        <v/>
      </c>
      <c r="D500" s="32"/>
      <c r="E500" s="32"/>
      <c r="F500" s="33"/>
      <c r="G500" s="65"/>
      <c r="H500" s="32"/>
      <c r="I500" s="66" t="n">
        <v>0</v>
      </c>
      <c r="J500" s="67"/>
      <c r="K500" s="68"/>
      <c r="L500" s="68"/>
      <c r="M500" s="68"/>
      <c r="N500" s="68"/>
      <c r="O500" s="68"/>
      <c r="P500" s="33"/>
      <c r="Q500" s="68"/>
      <c r="R500" s="68"/>
      <c r="S500" s="13"/>
    </row>
    <row r="501" customFormat="false" ht="27.75" hidden="false" customHeight="true" outlineLevel="0" collapsed="false">
      <c r="A501" s="5"/>
      <c r="B501" s="69"/>
      <c r="C501" s="64" t="str">
        <f aca="false">IF(B501="","",TEXT(B501,"DDD"))</f>
        <v/>
      </c>
      <c r="D501" s="36"/>
      <c r="E501" s="36"/>
      <c r="F501" s="4"/>
      <c r="G501" s="70"/>
      <c r="H501" s="36"/>
      <c r="I501" s="66" t="n">
        <v>0</v>
      </c>
      <c r="J501" s="71"/>
      <c r="K501" s="72"/>
      <c r="L501" s="72"/>
      <c r="M501" s="72"/>
      <c r="N501" s="72"/>
      <c r="O501" s="72"/>
      <c r="P501" s="4"/>
      <c r="Q501" s="72"/>
      <c r="R501" s="72"/>
      <c r="S501" s="5"/>
    </row>
    <row r="502" customFormat="false" ht="27.75" hidden="false" customHeight="true" outlineLevel="0" collapsed="false">
      <c r="A502" s="13"/>
      <c r="B502" s="63"/>
      <c r="C502" s="64" t="str">
        <f aca="false">IF(B502="","",TEXT(B502,"DDD"))</f>
        <v/>
      </c>
      <c r="D502" s="32"/>
      <c r="E502" s="32"/>
      <c r="F502" s="33"/>
      <c r="G502" s="65"/>
      <c r="H502" s="32"/>
      <c r="I502" s="66" t="n">
        <v>0</v>
      </c>
      <c r="J502" s="67"/>
      <c r="K502" s="68"/>
      <c r="L502" s="68"/>
      <c r="M502" s="68"/>
      <c r="N502" s="68"/>
      <c r="O502" s="68"/>
      <c r="P502" s="33"/>
      <c r="Q502" s="68"/>
      <c r="R502" s="68"/>
      <c r="S502" s="13"/>
    </row>
    <row r="503" customFormat="false" ht="27.75" hidden="false" customHeight="true" outlineLevel="0" collapsed="false">
      <c r="A503" s="5"/>
      <c r="B503" s="69"/>
      <c r="C503" s="64" t="str">
        <f aca="false">IF(B503="","",TEXT(B503,"DDD"))</f>
        <v/>
      </c>
      <c r="D503" s="36"/>
      <c r="E503" s="36"/>
      <c r="F503" s="4"/>
      <c r="G503" s="70"/>
      <c r="H503" s="36"/>
      <c r="I503" s="66" t="n">
        <v>0</v>
      </c>
      <c r="J503" s="71"/>
      <c r="K503" s="72"/>
      <c r="L503" s="72"/>
      <c r="M503" s="72"/>
      <c r="N503" s="72"/>
      <c r="O503" s="72"/>
      <c r="P503" s="4"/>
      <c r="Q503" s="72"/>
      <c r="R503" s="72"/>
      <c r="S503" s="5"/>
    </row>
    <row r="504" customFormat="false" ht="27.75" hidden="false" customHeight="true" outlineLevel="0" collapsed="false">
      <c r="A504" s="13"/>
      <c r="B504" s="63"/>
      <c r="C504" s="64" t="str">
        <f aca="false">IF(B504="","",TEXT(B504,"DDD"))</f>
        <v/>
      </c>
      <c r="D504" s="32"/>
      <c r="E504" s="32"/>
      <c r="F504" s="33"/>
      <c r="G504" s="65"/>
      <c r="H504" s="32"/>
      <c r="I504" s="66" t="n">
        <v>0</v>
      </c>
      <c r="J504" s="67"/>
      <c r="K504" s="68"/>
      <c r="L504" s="68"/>
      <c r="M504" s="68"/>
      <c r="N504" s="68"/>
      <c r="O504" s="68"/>
      <c r="P504" s="33"/>
      <c r="Q504" s="68"/>
      <c r="R504" s="68"/>
      <c r="S504" s="13"/>
    </row>
    <row r="505" customFormat="false" ht="27.75" hidden="false" customHeight="true" outlineLevel="0" collapsed="false">
      <c r="A505" s="5"/>
      <c r="B505" s="69"/>
      <c r="C505" s="64" t="str">
        <f aca="false">IF(B505="","",TEXT(B505,"DDD"))</f>
        <v/>
      </c>
      <c r="D505" s="36"/>
      <c r="E505" s="36"/>
      <c r="F505" s="4"/>
      <c r="G505" s="70"/>
      <c r="H505" s="36"/>
      <c r="I505" s="66" t="n">
        <v>0</v>
      </c>
      <c r="J505" s="71"/>
      <c r="K505" s="72"/>
      <c r="L505" s="72"/>
      <c r="M505" s="72"/>
      <c r="N505" s="72"/>
      <c r="O505" s="72"/>
      <c r="P505" s="4"/>
      <c r="Q505" s="72"/>
      <c r="R505" s="72"/>
      <c r="S505" s="5"/>
    </row>
    <row r="506" customFormat="false" ht="19.5" hidden="false" customHeight="true" outlineLevel="0" collapsed="false">
      <c r="A506" s="2"/>
      <c r="B506" s="38" t="s">
        <v>560</v>
      </c>
      <c r="C506" s="2"/>
      <c r="D506" s="2"/>
      <c r="E506" s="2"/>
      <c r="F506" s="2"/>
      <c r="G506" s="39" t="n">
        <f aca="false">SUM(G6:G505)</f>
        <v>0</v>
      </c>
      <c r="H506" s="2"/>
      <c r="I506" s="39" t="n">
        <f aca="false">SUM(I6:I505)</f>
        <v>0</v>
      </c>
      <c r="J506" s="73" t="n">
        <f aca="false">SUM(J6:J505)</f>
        <v>0</v>
      </c>
      <c r="K506" s="2"/>
      <c r="L506" s="2"/>
      <c r="M506" s="2"/>
      <c r="N506" s="2"/>
      <c r="O506" s="2"/>
      <c r="P506" s="2"/>
      <c r="Q506" s="2"/>
      <c r="R506" s="2"/>
      <c r="S50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true"/>
  </sheetPr>
  <dimension ref="B2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8"/>
    <col collapsed="false" customWidth="true" hidden="false" outlineLevel="0" max="4" min="4" style="0" width="3"/>
  </cols>
  <sheetData>
    <row r="2" customFormat="false" ht="39.75" hidden="false" customHeight="true" outlineLevel="0" collapsed="false">
      <c r="B2" s="1" t="s">
        <v>620</v>
      </c>
      <c r="C2" s="2"/>
    </row>
    <row r="3" customFormat="false" ht="4.5" hidden="false" customHeight="true" outlineLevel="0" collapsed="false"/>
    <row r="4" customFormat="false" ht="6" hidden="false" customHeight="true" outlineLevel="0" collapsed="false">
      <c r="B4" s="54" t="s">
        <v>621</v>
      </c>
      <c r="C4" s="31"/>
    </row>
    <row r="5" customFormat="false" ht="19.5" hidden="false" customHeight="true" outlineLevel="0" collapsed="false">
      <c r="B5" s="74" t="s">
        <v>622</v>
      </c>
      <c r="C5" s="75" t="s">
        <v>623</v>
      </c>
    </row>
    <row r="6" customFormat="false" ht="19.5" hidden="false" customHeight="true" outlineLevel="0" collapsed="false">
      <c r="B6" s="74" t="s">
        <v>624</v>
      </c>
      <c r="C6" s="76" t="s">
        <v>625</v>
      </c>
    </row>
    <row r="7" customFormat="false" ht="19.5" hidden="false" customHeight="true" outlineLevel="0" collapsed="false">
      <c r="B7" s="74" t="s">
        <v>626</v>
      </c>
      <c r="C7" s="75" t="s">
        <v>627</v>
      </c>
    </row>
    <row r="8" customFormat="false" ht="19.5" hidden="false" customHeight="true" outlineLevel="0" collapsed="false">
      <c r="B8" s="74" t="s">
        <v>628</v>
      </c>
      <c r="C8" s="76" t="s">
        <v>629</v>
      </c>
    </row>
    <row r="9" customFormat="false" ht="6" hidden="false" customHeight="true" outlineLevel="0" collapsed="false"/>
    <row r="10" customFormat="false" ht="6" hidden="false" customHeight="true" outlineLevel="0" collapsed="false">
      <c r="B10" s="54" t="s">
        <v>630</v>
      </c>
      <c r="C10" s="31"/>
    </row>
    <row r="11" customFormat="false" ht="19.5" hidden="false" customHeight="true" outlineLevel="0" collapsed="false">
      <c r="B11" s="74" t="s">
        <v>631</v>
      </c>
      <c r="C11" s="75" t="s">
        <v>632</v>
      </c>
    </row>
    <row r="12" customFormat="false" ht="19.5" hidden="false" customHeight="true" outlineLevel="0" collapsed="false">
      <c r="B12" s="74" t="s">
        <v>633</v>
      </c>
      <c r="C12" s="76" t="s">
        <v>634</v>
      </c>
    </row>
    <row r="13" customFormat="false" ht="19.5" hidden="false" customHeight="true" outlineLevel="0" collapsed="false">
      <c r="B13" s="74" t="s">
        <v>635</v>
      </c>
      <c r="C13" s="75" t="s">
        <v>636</v>
      </c>
    </row>
    <row r="14" customFormat="false" ht="6" hidden="false" customHeight="true" outlineLevel="0" collapsed="false"/>
    <row r="15" customFormat="false" ht="6" hidden="false" customHeight="true" outlineLevel="0" collapsed="false">
      <c r="B15" s="54" t="s">
        <v>637</v>
      </c>
      <c r="C15" s="31"/>
    </row>
    <row r="16" customFormat="false" ht="19.5" hidden="false" customHeight="true" outlineLevel="0" collapsed="false">
      <c r="B16" s="74" t="s">
        <v>638</v>
      </c>
      <c r="C16" s="76" t="s">
        <v>639</v>
      </c>
    </row>
    <row r="17" customFormat="false" ht="19.5" hidden="false" customHeight="true" outlineLevel="0" collapsed="false">
      <c r="B17" s="74" t="s">
        <v>640</v>
      </c>
      <c r="C17" s="75" t="s">
        <v>641</v>
      </c>
    </row>
    <row r="18" customFormat="false" ht="19.5" hidden="false" customHeight="true" outlineLevel="0" collapsed="false">
      <c r="B18" s="74" t="s">
        <v>642</v>
      </c>
      <c r="C18" s="76" t="s">
        <v>643</v>
      </c>
    </row>
    <row r="19" customFormat="false" ht="19.5" hidden="false" customHeight="true" outlineLevel="0" collapsed="false">
      <c r="B19" s="74" t="s">
        <v>644</v>
      </c>
      <c r="C19" s="75" t="s">
        <v>645</v>
      </c>
    </row>
    <row r="20" customFormat="false" ht="19.5" hidden="false" customHeight="true" outlineLevel="0" collapsed="false">
      <c r="B20" s="74" t="s">
        <v>646</v>
      </c>
      <c r="C20" s="76" t="s">
        <v>647</v>
      </c>
    </row>
    <row r="21" customFormat="false" ht="19.5" hidden="false" customHeight="true" outlineLevel="0" collapsed="false">
      <c r="B21" s="74" t="s">
        <v>648</v>
      </c>
      <c r="C21" s="75" t="s">
        <v>649</v>
      </c>
    </row>
    <row r="22" customFormat="false" ht="19.5" hidden="false" customHeight="true" outlineLevel="0" collapsed="false">
      <c r="B22" s="74" t="s">
        <v>650</v>
      </c>
      <c r="C22" s="76" t="s">
        <v>651</v>
      </c>
    </row>
    <row r="23" customFormat="false" ht="19.5" hidden="false" customHeight="true" outlineLevel="0" collapsed="false">
      <c r="B23" s="74" t="s">
        <v>652</v>
      </c>
      <c r="C23" s="75" t="s">
        <v>653</v>
      </c>
    </row>
    <row r="24" customFormat="false" ht="19.5" hidden="false" customHeight="true" outlineLevel="0" collapsed="false">
      <c r="B24" s="74" t="s">
        <v>654</v>
      </c>
      <c r="C24" s="76" t="s">
        <v>655</v>
      </c>
    </row>
    <row r="25" customFormat="false" ht="6" hidden="false" customHeight="true" outlineLevel="0" collapsed="false"/>
    <row r="26" customFormat="false" ht="6" hidden="false" customHeight="true" outlineLevel="0" collapsed="false">
      <c r="B26" s="54" t="s">
        <v>656</v>
      </c>
      <c r="C26" s="31"/>
    </row>
    <row r="27" customFormat="false" ht="19.5" hidden="false" customHeight="true" outlineLevel="0" collapsed="false">
      <c r="B27" s="74" t="s">
        <v>603</v>
      </c>
      <c r="C27" s="75" t="s">
        <v>657</v>
      </c>
    </row>
    <row r="28" customFormat="false" ht="19.5" hidden="false" customHeight="true" outlineLevel="0" collapsed="false">
      <c r="B28" s="74" t="s">
        <v>605</v>
      </c>
      <c r="C28" s="76" t="s">
        <v>658</v>
      </c>
    </row>
    <row r="29" customFormat="false" ht="19.5" hidden="false" customHeight="true" outlineLevel="0" collapsed="false">
      <c r="B29" s="74" t="s">
        <v>659</v>
      </c>
      <c r="C29" s="75" t="s">
        <v>660</v>
      </c>
    </row>
    <row r="30" customFormat="false" ht="19.5" hidden="false" customHeight="true" outlineLevel="0" collapsed="false">
      <c r="B30" s="74" t="s">
        <v>661</v>
      </c>
      <c r="C30" s="76" t="s">
        <v>662</v>
      </c>
    </row>
    <row r="31" customFormat="false" ht="19.5" hidden="false" customHeight="true" outlineLevel="0" collapsed="false">
      <c r="B31" s="74" t="s">
        <v>663</v>
      </c>
      <c r="C31" s="75" t="s">
        <v>664</v>
      </c>
    </row>
    <row r="32" customFormat="false" ht="19.5" hidden="false" customHeight="true" outlineLevel="0" collapsed="false">
      <c r="B32" s="74" t="s">
        <v>665</v>
      </c>
      <c r="C32" s="76" t="s">
        <v>666</v>
      </c>
    </row>
    <row r="33" customFormat="false" ht="19.5" hidden="false" customHeight="true" outlineLevel="0" collapsed="false">
      <c r="B33" s="74" t="s">
        <v>667</v>
      </c>
      <c r="C33" s="75" t="s">
        <v>668</v>
      </c>
    </row>
    <row r="34" customFormat="false" ht="19.5" hidden="false" customHeight="true" outlineLevel="0" collapsed="false">
      <c r="B34" s="74" t="s">
        <v>669</v>
      </c>
      <c r="C34" s="76" t="s">
        <v>670</v>
      </c>
    </row>
    <row r="35" customFormat="false" ht="19.5" hidden="false" customHeight="true" outlineLevel="0" collapsed="false">
      <c r="B35" s="74" t="s">
        <v>614</v>
      </c>
      <c r="C35" s="75" t="s">
        <v>671</v>
      </c>
    </row>
    <row r="36" customFormat="false" ht="19.5" hidden="false" customHeight="true" outlineLevel="0" collapsed="false">
      <c r="B36" s="74" t="s">
        <v>672</v>
      </c>
      <c r="C36" s="76" t="s">
        <v>673</v>
      </c>
    </row>
    <row r="37" customFormat="false" ht="19.5" hidden="false" customHeight="true" outlineLevel="0" collapsed="false">
      <c r="B37" s="74" t="s">
        <v>616</v>
      </c>
      <c r="C37" s="75" t="s">
        <v>674</v>
      </c>
    </row>
    <row r="38" customFormat="false" ht="19.5" hidden="false" customHeight="true" outlineLevel="0" collapsed="false">
      <c r="B38" s="74" t="s">
        <v>675</v>
      </c>
      <c r="C38" s="76" t="s">
        <v>676</v>
      </c>
    </row>
    <row r="39" customFormat="false" ht="6" hidden="false" customHeight="true" outlineLevel="0" collapsed="false"/>
    <row r="40" customFormat="false" ht="6" hidden="false" customHeight="true" outlineLevel="0" collapsed="false">
      <c r="B40" s="54" t="s">
        <v>677</v>
      </c>
      <c r="C40" s="31"/>
    </row>
    <row r="41" customFormat="false" ht="19.5" hidden="false" customHeight="true" outlineLevel="0" collapsed="false">
      <c r="B41" s="74" t="s">
        <v>678</v>
      </c>
      <c r="C41" s="75" t="s">
        <v>679</v>
      </c>
    </row>
    <row r="42" customFormat="false" ht="19.5" hidden="false" customHeight="true" outlineLevel="0" collapsed="false">
      <c r="B42" s="74" t="s">
        <v>680</v>
      </c>
      <c r="C42" s="76" t="s">
        <v>681</v>
      </c>
    </row>
    <row r="43" customFormat="false" ht="19.5" hidden="false" customHeight="true" outlineLevel="0" collapsed="false">
      <c r="B43" s="74" t="s">
        <v>682</v>
      </c>
      <c r="C43" s="75" t="s">
        <v>683</v>
      </c>
    </row>
    <row r="44" customFormat="false" ht="19.5" hidden="false" customHeight="true" outlineLevel="0" collapsed="false">
      <c r="B44" s="74" t="s">
        <v>684</v>
      </c>
      <c r="C44" s="76" t="s">
        <v>685</v>
      </c>
    </row>
    <row r="45" customFormat="false" ht="19.5" hidden="false" customHeight="true" outlineLevel="0" collapsed="false">
      <c r="B45" s="74" t="s">
        <v>686</v>
      </c>
      <c r="C45" s="75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2026-03-05T10:21:54Z</dcterms:created>
  <dc:creator>openpyxl</dc:creator>
  <dc:description/>
  <dc:language>en-US</dc:language>
  <cp:lastModifiedBy/>
  <dcterms:modified xsi:type="dcterms:W3CDTF">2026-03-05T10:21:58Z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